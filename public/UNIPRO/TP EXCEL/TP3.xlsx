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NCHK\Documents\UNIPRO\"/>
    </mc:Choice>
  </mc:AlternateContent>
  <xr:revisionPtr revIDLastSave="0" documentId="13_ncr:1_{D33DA67A-11EE-4B8A-AB13-AD4F1DED7026}" xr6:coauthVersionLast="47" xr6:coauthVersionMax="47" xr10:uidLastSave="{00000000-0000-0000-0000-000000000000}"/>
  <bookViews>
    <workbookView xWindow="0" yWindow="300" windowWidth="19420" windowHeight="10420" activeTab="3" xr2:uid="{00000000-000D-0000-FFFF-FFFF00000000}"/>
  </bookViews>
  <sheets>
    <sheet name="Feuil1" sheetId="7" r:id="rId1"/>
    <sheet name="Enoncé1" sheetId="3" r:id="rId2"/>
    <sheet name="solution" sheetId="2" r:id="rId3"/>
    <sheet name="Feuil2" sheetId="8" r:id="rId4"/>
    <sheet name="Enoncé2" sheetId="4" r:id="rId5"/>
    <sheet name="Solution2" sheetId="5" r:id="rId6"/>
    <sheet name="Enoncé3" sheetId="6" r:id="rId7"/>
  </sheets>
  <definedNames>
    <definedName name="_xlnm._FilterDatabase" localSheetId="1" hidden="1">Enoncé1!$A$1:$J$17</definedName>
    <definedName name="_xlnm._FilterDatabase" localSheetId="2" hidden="1">solution!$A$1:$J$22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  <c r="G21" i="5" l="1"/>
  <c r="F21" i="5"/>
  <c r="E21" i="5"/>
  <c r="G14" i="5"/>
  <c r="F14" i="5"/>
  <c r="E14" i="5"/>
  <c r="G11" i="5"/>
  <c r="F11" i="5"/>
  <c r="E11" i="5"/>
  <c r="G7" i="5"/>
  <c r="G22" i="5" s="1"/>
  <c r="F7" i="5"/>
  <c r="F22" i="5" s="1"/>
  <c r="E7" i="5"/>
  <c r="E22" i="5" s="1"/>
  <c r="D7" i="2" l="1"/>
  <c r="F2" i="2"/>
  <c r="F3" i="2" s="1"/>
  <c r="D3" i="2"/>
  <c r="E3" i="2"/>
  <c r="E23" i="2" l="1"/>
  <c r="D23" i="2"/>
  <c r="E19" i="2"/>
  <c r="D19" i="2"/>
  <c r="E16" i="2"/>
  <c r="D16" i="2"/>
  <c r="E11" i="2"/>
  <c r="D11" i="2"/>
  <c r="E7" i="2"/>
  <c r="E24" i="2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5" i="2"/>
  <c r="F10" i="2"/>
  <c r="F9" i="2"/>
  <c r="F6" i="2"/>
  <c r="F5" i="2"/>
  <c r="F8" i="2"/>
  <c r="F11" i="2" s="1"/>
  <c r="F4" i="2"/>
  <c r="F7" i="2" s="1"/>
  <c r="F14" i="2"/>
  <c r="F13" i="2"/>
  <c r="F12" i="2"/>
  <c r="F16" i="2"/>
  <c r="F18" i="2"/>
  <c r="F17" i="2"/>
  <c r="F19" i="2" s="1"/>
  <c r="F22" i="2"/>
  <c r="F21" i="2"/>
  <c r="F20" i="2"/>
  <c r="F23" i="2" l="1"/>
  <c r="F24" i="2"/>
  <c r="D24" i="2"/>
</calcChain>
</file>

<file path=xl/sharedStrings.xml><?xml version="1.0" encoding="utf-8"?>
<sst xmlns="http://schemas.openxmlformats.org/spreadsheetml/2006/main" count="286" uniqueCount="112">
  <si>
    <t>Produit</t>
  </si>
  <si>
    <t>Pays d'origine</t>
  </si>
  <si>
    <t>Région</t>
  </si>
  <si>
    <t>Quantité commandée</t>
  </si>
  <si>
    <t>Quantité vendue</t>
  </si>
  <si>
    <t>Stock disponible</t>
  </si>
  <si>
    <t>Pommes</t>
  </si>
  <si>
    <t>Suisse</t>
  </si>
  <si>
    <t>France</t>
  </si>
  <si>
    <t>Europe</t>
  </si>
  <si>
    <t>Italie</t>
  </si>
  <si>
    <t>Poires</t>
  </si>
  <si>
    <t>Oranges</t>
  </si>
  <si>
    <t>Espagne</t>
  </si>
  <si>
    <t>Bananes</t>
  </si>
  <si>
    <t>Angola</t>
  </si>
  <si>
    <t>Afrique</t>
  </si>
  <si>
    <t>Mandarines</t>
  </si>
  <si>
    <t>Amérique Sud</t>
  </si>
  <si>
    <t>Costa Rica</t>
  </si>
  <si>
    <t>Ananas</t>
  </si>
  <si>
    <t>Sénégal</t>
  </si>
  <si>
    <t>Maroc</t>
  </si>
  <si>
    <t>Total Pommes</t>
  </si>
  <si>
    <t>Total</t>
  </si>
  <si>
    <t>Total Mandarines</t>
  </si>
  <si>
    <t>Total Oranges</t>
  </si>
  <si>
    <t>Total Poires</t>
  </si>
  <si>
    <t>Total Ananas</t>
  </si>
  <si>
    <t>Total Bananes</t>
  </si>
  <si>
    <t>ELEVE</t>
  </si>
  <si>
    <t>1er trimestre</t>
  </si>
  <si>
    <t>Classe</t>
  </si>
  <si>
    <t>NOM DE L'ÉLÈVE</t>
  </si>
  <si>
    <t>Prénom</t>
  </si>
  <si>
    <t>Date de naissance</t>
  </si>
  <si>
    <t>Maths</t>
  </si>
  <si>
    <t>Français</t>
  </si>
  <si>
    <t>Sciences</t>
  </si>
  <si>
    <t>T101</t>
  </si>
  <si>
    <t>SANDRIN</t>
  </si>
  <si>
    <t>Victoire</t>
  </si>
  <si>
    <t>SOUBIRAN</t>
  </si>
  <si>
    <t>Julien</t>
  </si>
  <si>
    <t>KANTIN</t>
  </si>
  <si>
    <t>Nathan</t>
  </si>
  <si>
    <t>DUPONT</t>
  </si>
  <si>
    <t>Michel</t>
  </si>
  <si>
    <t>T302</t>
  </si>
  <si>
    <t>ECHARD</t>
  </si>
  <si>
    <t>Benjamin</t>
  </si>
  <si>
    <t>LILIAN</t>
  </si>
  <si>
    <t>Audrey</t>
  </si>
  <si>
    <t>BARNET</t>
  </si>
  <si>
    <t>Linda</t>
  </si>
  <si>
    <t>NAULLON</t>
  </si>
  <si>
    <t>Dominique</t>
  </si>
  <si>
    <t>ROLLAIN</t>
  </si>
  <si>
    <t>Anne</t>
  </si>
  <si>
    <t>T102</t>
  </si>
  <si>
    <t>ARDOIN</t>
  </si>
  <si>
    <t>Mathilde</t>
  </si>
  <si>
    <t>ROLLIN</t>
  </si>
  <si>
    <t>Amélie</t>
  </si>
  <si>
    <t>MARTIN</t>
  </si>
  <si>
    <t>Marie</t>
  </si>
  <si>
    <t>T301</t>
  </si>
  <si>
    <t>PULLAN</t>
  </si>
  <si>
    <t>Pierrick</t>
  </si>
  <si>
    <t>Paul</t>
  </si>
  <si>
    <t>POTIER</t>
  </si>
  <si>
    <t>Emma</t>
  </si>
  <si>
    <t>Moyenne T101</t>
  </si>
  <si>
    <t>Moyenne T102</t>
  </si>
  <si>
    <t>Moyenne T301</t>
  </si>
  <si>
    <t>Moyenne T302</t>
  </si>
  <si>
    <t>Moyenne</t>
  </si>
  <si>
    <t>Alice Mutton</t>
  </si>
  <si>
    <t>M. et Mme DUPONT</t>
  </si>
  <si>
    <t>DATE</t>
  </si>
  <si>
    <t>CLIENT</t>
  </si>
  <si>
    <t>Aniseed Syrup</t>
  </si>
  <si>
    <t>3 cité des Flamands</t>
  </si>
  <si>
    <t>dupont</t>
  </si>
  <si>
    <t>Boston Crab Meat</t>
  </si>
  <si>
    <t>78500 SARTROUVILLE</t>
  </si>
  <si>
    <t>Camembert Pierrot</t>
  </si>
  <si>
    <t>Carnarvon Tigers</t>
  </si>
  <si>
    <t>DESIGNATION</t>
  </si>
  <si>
    <t>QUANTITE</t>
  </si>
  <si>
    <t>P.U.H.T.</t>
  </si>
  <si>
    <t>MONTANT H.T.</t>
  </si>
  <si>
    <t>TTC</t>
  </si>
  <si>
    <t>T.V.A.</t>
  </si>
  <si>
    <t>Chai</t>
  </si>
  <si>
    <t/>
  </si>
  <si>
    <t>Chang</t>
  </si>
  <si>
    <t>Chartreuse verte</t>
  </si>
  <si>
    <t>Chef Anton's Cajun Seasoning</t>
  </si>
  <si>
    <t>Chef Anton's Gumbo Mix</t>
  </si>
  <si>
    <t>Chocolade</t>
  </si>
  <si>
    <t>Côte de Blaye</t>
  </si>
  <si>
    <t>Escargots de Bourgogne</t>
  </si>
  <si>
    <t>Gula Malacca</t>
  </si>
  <si>
    <t>Étiquettes de lignes</t>
  </si>
  <si>
    <t>Total général</t>
  </si>
  <si>
    <t>Somme de Quantité commandée</t>
  </si>
  <si>
    <t>Somme de Quantité vendue</t>
  </si>
  <si>
    <t>Somme de Stock disponible</t>
  </si>
  <si>
    <t>Moyenne de Maths</t>
  </si>
  <si>
    <t>Moyenne de Français</t>
  </si>
  <si>
    <t>Moyenne de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</si>
</sst>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\K\g\ * #,##0"/>
  </numFmts>
  <fonts count="11" x14ac:knownFonts="1">
    <font>
      <sz val="10"/>
      <name val="Arial"/>
    </font>
    <font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</font>
    <font>
      <b/>
      <sz val="11"/>
      <color theme="1" tint="0.14999847407452621"/>
      <name val="Calibri"/>
      <family val="2"/>
    </font>
    <font>
      <b/>
      <sz val="11"/>
      <color theme="0"/>
      <name val="Calibri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166" fontId="1" fillId="0" borderId="0" xfId="0" applyNumberFormat="1" applyFont="1"/>
    <xf numFmtId="0" fontId="1" fillId="0" borderId="1" xfId="0" applyFont="1" applyBorder="1"/>
    <xf numFmtId="166" fontId="1" fillId="0" borderId="1" xfId="0" applyNumberFormat="1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Border="1" applyProtection="1">
      <protection locked="0"/>
    </xf>
    <xf numFmtId="166" fontId="1" fillId="0" borderId="1" xfId="0" applyNumberFormat="1" applyFont="1" applyBorder="1" applyProtection="1">
      <protection locked="0"/>
    </xf>
    <xf numFmtId="166" fontId="2" fillId="0" borderId="1" xfId="0" applyNumberFormat="1" applyFont="1" applyBorder="1" applyProtection="1">
      <protection locked="0"/>
    </xf>
    <xf numFmtId="0" fontId="1" fillId="3" borderId="1" xfId="0" applyFont="1" applyFill="1" applyBorder="1" applyProtection="1">
      <protection locked="0"/>
    </xf>
    <xf numFmtId="166" fontId="1" fillId="3" borderId="1" xfId="0" applyNumberFormat="1" applyFont="1" applyFill="1" applyBorder="1" applyProtection="1">
      <protection locked="0"/>
    </xf>
    <xf numFmtId="166" fontId="2" fillId="3" borderId="1" xfId="0" applyNumberFormat="1" applyFont="1" applyFill="1" applyBorder="1" applyProtection="1">
      <protection locked="0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2" fontId="0" fillId="0" borderId="2" xfId="0" applyNumberFormat="1" applyBorder="1"/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/>
    <xf numFmtId="2" fontId="0" fillId="0" borderId="3" xfId="0" applyNumberFormat="1" applyBorder="1"/>
    <xf numFmtId="0" fontId="4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7" fillId="0" borderId="0" xfId="0" applyFont="1" applyAlignment="1" applyProtection="1">
      <alignment horizontal="justify" vertical="center"/>
      <protection locked="0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horizontal="center" vertical="justify"/>
    </xf>
    <xf numFmtId="0" fontId="7" fillId="0" borderId="0" xfId="0" applyFont="1"/>
    <xf numFmtId="1" fontId="0" fillId="0" borderId="0" xfId="0" applyNumberFormat="1"/>
    <xf numFmtId="9" fontId="0" fillId="0" borderId="0" xfId="0" applyNumberFormat="1"/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4" fontId="7" fillId="5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0" xfId="0" quotePrefix="1" applyFont="1" applyAlignment="1">
      <alignment horizontal="justify" vertical="center"/>
    </xf>
    <xf numFmtId="0" fontId="8" fillId="6" borderId="6" xfId="0" applyFont="1" applyFill="1" applyBorder="1" applyAlignment="1">
      <alignment horizontal="justify" vertical="center"/>
    </xf>
    <xf numFmtId="0" fontId="9" fillId="6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justify" vertical="center"/>
    </xf>
    <xf numFmtId="164" fontId="7" fillId="0" borderId="1" xfId="2" applyFont="1" applyBorder="1" applyAlignment="1">
      <alignment vertical="center"/>
    </xf>
    <xf numFmtId="164" fontId="7" fillId="0" borderId="1" xfId="2" applyFont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0" xfId="0" quotePrefix="1" applyFont="1" applyAlignment="1">
      <alignment horizontal="center" vertical="justify"/>
    </xf>
    <xf numFmtId="0" fontId="7" fillId="0" borderId="0" xfId="0" applyFont="1" applyAlignment="1">
      <alignment horizontal="center" vertical="center"/>
    </xf>
    <xf numFmtId="164" fontId="7" fillId="0" borderId="0" xfId="2" applyFont="1" applyBorder="1" applyAlignment="1">
      <alignment vertical="center"/>
    </xf>
    <xf numFmtId="164" fontId="7" fillId="0" borderId="0" xfId="2" applyFont="1" applyBorder="1" applyAlignment="1">
      <alignment horizontal="right" vertical="center"/>
    </xf>
    <xf numFmtId="165" fontId="7" fillId="0" borderId="0" xfId="1" applyFont="1" applyAlignment="1">
      <alignment vertical="center"/>
    </xf>
    <xf numFmtId="165" fontId="7" fillId="0" borderId="0" xfId="1" applyFont="1" applyAlignment="1">
      <alignment horizontal="right" vertical="center"/>
    </xf>
    <xf numFmtId="1" fontId="7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3">
    <cellStyle name="Euro" xfId="2" xr:uid="{00000000-0005-0000-0000-000000000000}"/>
    <cellStyle name="Milliers" xfId="1" builtinId="3"/>
    <cellStyle name="Normal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16</xdr:row>
      <xdr:rowOff>38100</xdr:rowOff>
    </xdr:from>
    <xdr:to>
      <xdr:col>4</xdr:col>
      <xdr:colOff>257175</xdr:colOff>
      <xdr:row>22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6771B8-E503-49D9-92A2-608690B2C377}"/>
            </a:ext>
          </a:extLst>
        </xdr:cNvPr>
        <xdr:cNvSpPr/>
      </xdr:nvSpPr>
      <xdr:spPr>
        <a:xfrm>
          <a:off x="1295400" y="2946400"/>
          <a:ext cx="3413125" cy="1057275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Dans la colonne</a:t>
          </a:r>
          <a:r>
            <a:rPr lang="fr-FR" sz="1100" baseline="0"/>
            <a:t> </a:t>
          </a:r>
          <a:r>
            <a:rPr lang="fr-FR" sz="1100"/>
            <a:t> designation</a:t>
          </a:r>
          <a:r>
            <a:rPr lang="fr-FR" sz="1100" baseline="0"/>
            <a:t> et la colonne TVA vous mettez en place un menu déroulant en vous appuyant sur les colonnes L et M que vous masquerez à l'issu.</a:t>
          </a:r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CHK" refreshedDate="46086.878020717595" createdVersion="8" refreshedVersion="8" minRefreshableVersion="3" recordCount="16" xr:uid="{431E323B-832C-44E8-B2C6-DF06400D2422}">
  <cacheSource type="worksheet">
    <worksheetSource ref="A1:F17" sheet="Enoncé1"/>
  </cacheSource>
  <cacheFields count="6">
    <cacheField name="Produit" numFmtId="0">
      <sharedItems count="6">
        <s v="Ananas"/>
        <s v="Bananes"/>
        <s v="Mandarines"/>
        <s v="Oranges"/>
        <s v="Poires"/>
        <s v="Pommes"/>
      </sharedItems>
    </cacheField>
    <cacheField name="Pays d'origine" numFmtId="0">
      <sharedItems count="8">
        <s v="Sénégal"/>
        <s v="Angola"/>
        <s v="Costa Rica"/>
        <s v="Italie"/>
        <s v="Espagne"/>
        <s v="Maroc"/>
        <s v="Suisse"/>
        <s v="France"/>
      </sharedItems>
    </cacheField>
    <cacheField name="Région" numFmtId="0">
      <sharedItems/>
    </cacheField>
    <cacheField name="Quantité commandée" numFmtId="166">
      <sharedItems containsSemiMixedTypes="0" containsString="0" containsNumber="1" containsInteger="1" minValue="800" maxValue="3000" count="8">
        <n v="800"/>
        <n v="1300"/>
        <n v="2000"/>
        <n v="1200"/>
        <n v="3000"/>
        <n v="900"/>
        <n v="1100"/>
        <n v="1500"/>
      </sharedItems>
    </cacheField>
    <cacheField name="Quantité vendue" numFmtId="166">
      <sharedItems containsSemiMixedTypes="0" containsString="0" containsNumber="1" containsInteger="1" minValue="230" maxValue="2700"/>
    </cacheField>
    <cacheField name="Stock disponible" numFmtId="166">
      <sharedItems containsSemiMixedTypes="0" containsString="0" containsNumber="1" containsInteger="1" minValue="11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CHK" refreshedDate="46086.884391898151" createdVersion="8" refreshedVersion="8" minRefreshableVersion="3" recordCount="16" xr:uid="{AE8F2B34-9941-4F65-A2EB-F07A45F5ABDD}">
  <cacheSource type="worksheet">
    <worksheetSource ref="A2:G18" sheet="Enoncé2"/>
  </cacheSource>
  <cacheFields count="7">
    <cacheField name="Classe" numFmtId="0">
      <sharedItems count="4">
        <s v="T101"/>
        <s v="T302"/>
        <s v="T102"/>
        <s v="T301"/>
      </sharedItems>
    </cacheField>
    <cacheField name="NOM DE L'ÉLÈVE" numFmtId="0">
      <sharedItems/>
    </cacheField>
    <cacheField name="Prénom" numFmtId="0">
      <sharedItems count="15">
        <s v="Victoire"/>
        <s v="Julien"/>
        <s v="Nathan"/>
        <s v="Michel"/>
        <s v="Benjamin"/>
        <s v="Audrey"/>
        <s v="Linda"/>
        <s v="Dominique"/>
        <s v="Anne"/>
        <s v="Mathilde"/>
        <s v="Amélie"/>
        <s v="Marie"/>
        <s v="Pierrick"/>
        <s v="Paul"/>
        <s v="Emma"/>
      </sharedItems>
    </cacheField>
    <cacheField name="Date de naissance" numFmtId="14">
      <sharedItems containsSemiMixedTypes="0" containsNonDate="0" containsDate="1" containsString="0" minDate="1997-12-15T00:00:00" maxDate="1998-12-15T00:00:00"/>
    </cacheField>
    <cacheField name="Maths" numFmtId="0">
      <sharedItems containsSemiMixedTypes="0" containsString="0" containsNumber="1" containsInteger="1" minValue="10" maxValue="20"/>
    </cacheField>
    <cacheField name="Français" numFmtId="0">
      <sharedItems containsSemiMixedTypes="0" containsString="0" containsNumber="1" containsInteger="1" minValue="10" maxValue="20"/>
    </cacheField>
    <cacheField name="Sciences" numFmtId="0">
      <sharedItems containsSemiMixedTypes="0" containsString="0" containsNumber="1" containsInteger="1" minValue="10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Afrique"/>
    <x v="0"/>
    <n v="400"/>
    <n v="400"/>
  </r>
  <r>
    <x v="1"/>
    <x v="1"/>
    <s v="Afrique"/>
    <x v="1"/>
    <n v="500"/>
    <n v="800"/>
  </r>
  <r>
    <x v="1"/>
    <x v="2"/>
    <s v="Amérique Sud"/>
    <x v="2"/>
    <n v="1650"/>
    <n v="350"/>
  </r>
  <r>
    <x v="1"/>
    <x v="1"/>
    <s v="Afrique"/>
    <x v="3"/>
    <n v="900"/>
    <n v="300"/>
  </r>
  <r>
    <x v="2"/>
    <x v="3"/>
    <s v="Europe"/>
    <x v="4"/>
    <n v="300"/>
    <n v="2700"/>
  </r>
  <r>
    <x v="2"/>
    <x v="4"/>
    <s v="Europe"/>
    <x v="5"/>
    <n v="400"/>
    <n v="500"/>
  </r>
  <r>
    <x v="2"/>
    <x v="3"/>
    <s v="Europe"/>
    <x v="6"/>
    <n v="400"/>
    <n v="700"/>
  </r>
  <r>
    <x v="3"/>
    <x v="4"/>
    <s v="Europe"/>
    <x v="2"/>
    <n v="1000"/>
    <n v="1000"/>
  </r>
  <r>
    <x v="3"/>
    <x v="3"/>
    <s v="Europe"/>
    <x v="0"/>
    <n v="670"/>
    <n v="130"/>
  </r>
  <r>
    <x v="3"/>
    <x v="5"/>
    <s v="Afrique"/>
    <x v="7"/>
    <n v="500"/>
    <n v="1000"/>
  </r>
  <r>
    <x v="3"/>
    <x v="5"/>
    <s v="Afrique"/>
    <x v="2"/>
    <n v="700"/>
    <n v="1300"/>
  </r>
  <r>
    <x v="4"/>
    <x v="6"/>
    <s v="Europe"/>
    <x v="0"/>
    <n v="690"/>
    <n v="110"/>
  </r>
  <r>
    <x v="4"/>
    <x v="7"/>
    <s v="Europe"/>
    <x v="4"/>
    <n v="2700"/>
    <n v="300"/>
  </r>
  <r>
    <x v="5"/>
    <x v="6"/>
    <s v="Europe"/>
    <x v="3"/>
    <n v="1000"/>
    <n v="200"/>
  </r>
  <r>
    <x v="5"/>
    <x v="7"/>
    <s v="Europe"/>
    <x v="3"/>
    <n v="230"/>
    <n v="970"/>
  </r>
  <r>
    <x v="5"/>
    <x v="3"/>
    <s v="Europe"/>
    <x v="3"/>
    <n v="400"/>
    <n v="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SANDRIN"/>
    <x v="0"/>
    <d v="1998-12-08T00:00:00"/>
    <n v="11"/>
    <n v="10"/>
    <n v="10"/>
  </r>
  <r>
    <x v="0"/>
    <s v="SOUBIRAN"/>
    <x v="1"/>
    <d v="1998-03-31T00:00:00"/>
    <n v="10"/>
    <n v="11"/>
    <n v="12"/>
  </r>
  <r>
    <x v="0"/>
    <s v="KANTIN"/>
    <x v="2"/>
    <d v="1998-07-01T00:00:00"/>
    <n v="13"/>
    <n v="18"/>
    <n v="10"/>
  </r>
  <r>
    <x v="0"/>
    <s v="DUPONT"/>
    <x v="3"/>
    <d v="1998-11-30T00:00:00"/>
    <n v="14"/>
    <n v="15"/>
    <n v="11"/>
  </r>
  <r>
    <x v="1"/>
    <s v="ECHARD"/>
    <x v="4"/>
    <d v="1998-04-21T00:00:00"/>
    <n v="14"/>
    <n v="13"/>
    <n v="13"/>
  </r>
  <r>
    <x v="1"/>
    <s v="LILIAN"/>
    <x v="5"/>
    <d v="1998-03-02T00:00:00"/>
    <n v="19"/>
    <n v="15"/>
    <n v="13"/>
  </r>
  <r>
    <x v="1"/>
    <s v="BARNET"/>
    <x v="6"/>
    <d v="1998-04-05T00:00:00"/>
    <n v="15"/>
    <n v="16"/>
    <n v="15"/>
  </r>
  <r>
    <x v="1"/>
    <s v="NAULLON"/>
    <x v="7"/>
    <d v="1997-12-15T00:00:00"/>
    <n v="17"/>
    <n v="16"/>
    <n v="15"/>
  </r>
  <r>
    <x v="1"/>
    <s v="ROLLAIN"/>
    <x v="8"/>
    <d v="1998-07-03T00:00:00"/>
    <n v="19"/>
    <n v="16"/>
    <n v="14"/>
  </r>
  <r>
    <x v="2"/>
    <s v="ARDOIN"/>
    <x v="9"/>
    <d v="1998-08-10T00:00:00"/>
    <n v="18"/>
    <n v="17"/>
    <n v="15"/>
  </r>
  <r>
    <x v="1"/>
    <s v="DUPONT"/>
    <x v="3"/>
    <d v="1998-04-12T00:00:00"/>
    <n v="20"/>
    <n v="17"/>
    <n v="15"/>
  </r>
  <r>
    <x v="2"/>
    <s v="ROLLIN"/>
    <x v="10"/>
    <d v="1998-12-14T00:00:00"/>
    <n v="18"/>
    <n v="19"/>
    <n v="16"/>
  </r>
  <r>
    <x v="2"/>
    <s v="MARTIN"/>
    <x v="11"/>
    <d v="1998-01-15T00:00:00"/>
    <n v="19"/>
    <n v="19"/>
    <n v="17"/>
  </r>
  <r>
    <x v="3"/>
    <s v="PULLAN"/>
    <x v="12"/>
    <d v="1998-04-24T00:00:00"/>
    <n v="20"/>
    <n v="18"/>
    <n v="17"/>
  </r>
  <r>
    <x v="3"/>
    <s v="DUPONT"/>
    <x v="13"/>
    <d v="1998-03-17T00:00:00"/>
    <n v="19"/>
    <n v="19"/>
    <n v="18"/>
  </r>
  <r>
    <x v="0"/>
    <s v="POTIER"/>
    <x v="14"/>
    <d v="1998-08-16T00:00:00"/>
    <n v="18"/>
    <n v="2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881E1-4BE5-43D8-B29A-C2C3327C03F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0" firstHeaderRow="0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1"/>
        <item x="2"/>
        <item x="4"/>
        <item x="7"/>
        <item x="3"/>
        <item x="5"/>
        <item x="0"/>
        <item x="6"/>
        <item t="default"/>
      </items>
    </pivotField>
    <pivotField showAll="0"/>
    <pivotField dataField="1" numFmtId="166" showAll="0">
      <items count="9">
        <item x="0"/>
        <item x="5"/>
        <item x="6"/>
        <item x="3"/>
        <item x="1"/>
        <item x="7"/>
        <item x="2"/>
        <item x="4"/>
        <item t="default"/>
      </items>
    </pivotField>
    <pivotField dataField="1" numFmtId="166" showAll="0"/>
    <pivotField dataField="1" numFmtId="166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tock disponible" fld="5" baseField="0" baseItem="0" numFmtId="166"/>
    <dataField name="Somme de Quantité vendue" fld="4" baseField="0" baseItem="0" numFmtId="166"/>
    <dataField name="Somme de Quantité commandée" fld="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198FD-1634-465C-9FF1-E47A77AFAA61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8" firstHeaderRow="0" firstDataRow="1" firstDataCol="1"/>
  <pivotFields count="7">
    <pivotField axis="axisRow" showAll="0">
      <items count="5">
        <item x="0"/>
        <item x="2"/>
        <item x="3"/>
        <item x="1"/>
        <item t="default"/>
      </items>
    </pivotField>
    <pivotField showAll="0"/>
    <pivotField showAll="0">
      <items count="16">
        <item x="10"/>
        <item x="8"/>
        <item x="5"/>
        <item x="4"/>
        <item x="7"/>
        <item x="14"/>
        <item x="1"/>
        <item x="6"/>
        <item x="11"/>
        <item x="9"/>
        <item x="3"/>
        <item x="2"/>
        <item x="13"/>
        <item x="12"/>
        <item x="0"/>
        <item t="default"/>
      </items>
    </pivotField>
    <pivotField numFmtId="14"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yenne de Maths" fld="4" subtotal="average" baseField="0" baseItem="0"/>
    <dataField name="Moyenne de Sciences" fld="6" subtotal="average" baseField="0" baseItem="0"/>
    <dataField name="Moyenne de Françai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2659-B636-4762-A877-C76871EB0C94}">
  <dimension ref="A3:D10"/>
  <sheetViews>
    <sheetView workbookViewId="0">
      <selection activeCell="C11" sqref="C11"/>
    </sheetView>
  </sheetViews>
  <sheetFormatPr baseColWidth="10" defaultRowHeight="12.5" x14ac:dyDescent="0.25"/>
  <cols>
    <col min="1" max="1" width="20.1796875" bestFit="1" customWidth="1"/>
    <col min="2" max="2" width="24.81640625" bestFit="1" customWidth="1"/>
    <col min="3" max="3" width="24.7265625" bestFit="1" customWidth="1"/>
    <col min="4" max="5" width="28.90625" bestFit="1" customWidth="1"/>
    <col min="6" max="6" width="24.7265625" bestFit="1" customWidth="1"/>
    <col min="7" max="7" width="28.90625" bestFit="1" customWidth="1"/>
    <col min="8" max="8" width="24.81640625" bestFit="1" customWidth="1"/>
    <col min="9" max="9" width="24.7265625" bestFit="1" customWidth="1"/>
    <col min="10" max="10" width="28.90625" bestFit="1" customWidth="1"/>
    <col min="11" max="11" width="24.81640625" bestFit="1" customWidth="1"/>
    <col min="12" max="12" width="24.7265625" bestFit="1" customWidth="1"/>
    <col min="13" max="13" width="28.90625" bestFit="1" customWidth="1"/>
    <col min="14" max="14" width="24.81640625" bestFit="1" customWidth="1"/>
    <col min="15" max="15" width="24.7265625" bestFit="1" customWidth="1"/>
    <col min="16" max="16" width="28.90625" bestFit="1" customWidth="1"/>
    <col min="17" max="17" width="24.81640625" bestFit="1" customWidth="1"/>
    <col min="18" max="18" width="24.7265625" bestFit="1" customWidth="1"/>
    <col min="19" max="19" width="28.90625" bestFit="1" customWidth="1"/>
    <col min="20" max="20" width="24.81640625" bestFit="1" customWidth="1"/>
    <col min="21" max="21" width="24.7265625" bestFit="1" customWidth="1"/>
    <col min="22" max="22" width="28.90625" bestFit="1" customWidth="1"/>
    <col min="23" max="23" width="24.81640625" bestFit="1" customWidth="1"/>
    <col min="24" max="24" width="24.7265625" bestFit="1" customWidth="1"/>
    <col min="25" max="25" width="28.90625" bestFit="1" customWidth="1"/>
    <col min="26" max="26" width="29.81640625" bestFit="1" customWidth="1"/>
    <col min="27" max="27" width="29.7265625" bestFit="1" customWidth="1"/>
    <col min="28" max="28" width="33.90625" bestFit="1" customWidth="1"/>
  </cols>
  <sheetData>
    <row r="3" spans="1:4" x14ac:dyDescent="0.25">
      <c r="A3" s="59" t="s">
        <v>104</v>
      </c>
      <c r="B3" t="s">
        <v>108</v>
      </c>
      <c r="C3" t="s">
        <v>107</v>
      </c>
      <c r="D3" t="s">
        <v>106</v>
      </c>
    </row>
    <row r="4" spans="1:4" x14ac:dyDescent="0.25">
      <c r="A4" s="60" t="s">
        <v>20</v>
      </c>
      <c r="B4" s="61">
        <v>400</v>
      </c>
      <c r="C4" s="61">
        <v>400</v>
      </c>
      <c r="D4" s="61">
        <v>800</v>
      </c>
    </row>
    <row r="5" spans="1:4" x14ac:dyDescent="0.25">
      <c r="A5" s="60" t="s">
        <v>14</v>
      </c>
      <c r="B5" s="61">
        <v>1450</v>
      </c>
      <c r="C5" s="61">
        <v>3050</v>
      </c>
      <c r="D5" s="61">
        <v>4500</v>
      </c>
    </row>
    <row r="6" spans="1:4" x14ac:dyDescent="0.25">
      <c r="A6" s="60" t="s">
        <v>17</v>
      </c>
      <c r="B6" s="61">
        <v>3900</v>
      </c>
      <c r="C6" s="61">
        <v>1100</v>
      </c>
      <c r="D6" s="61">
        <v>5000</v>
      </c>
    </row>
    <row r="7" spans="1:4" x14ac:dyDescent="0.25">
      <c r="A7" s="60" t="s">
        <v>12</v>
      </c>
      <c r="B7" s="61">
        <v>3430</v>
      </c>
      <c r="C7" s="61">
        <v>2870</v>
      </c>
      <c r="D7" s="61">
        <v>6300</v>
      </c>
    </row>
    <row r="8" spans="1:4" x14ac:dyDescent="0.25">
      <c r="A8" s="60" t="s">
        <v>11</v>
      </c>
      <c r="B8" s="61">
        <v>410</v>
      </c>
      <c r="C8" s="61">
        <v>3390</v>
      </c>
      <c r="D8" s="61">
        <v>3800</v>
      </c>
    </row>
    <row r="9" spans="1:4" x14ac:dyDescent="0.25">
      <c r="A9" s="60" t="s">
        <v>6</v>
      </c>
      <c r="B9" s="61">
        <v>1970</v>
      </c>
      <c r="C9" s="61">
        <v>1630</v>
      </c>
      <c r="D9" s="61">
        <v>3600</v>
      </c>
    </row>
    <row r="10" spans="1:4" x14ac:dyDescent="0.25">
      <c r="A10" s="60" t="s">
        <v>105</v>
      </c>
      <c r="B10" s="61">
        <v>11560</v>
      </c>
      <c r="C10" s="61">
        <v>12440</v>
      </c>
      <c r="D10" s="61">
        <v>24000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Normal="100" workbookViewId="0">
      <selection sqref="A1:F17"/>
    </sheetView>
  </sheetViews>
  <sheetFormatPr baseColWidth="10" defaultColWidth="11.453125" defaultRowHeight="18.5" x14ac:dyDescent="0.45"/>
  <cols>
    <col min="1" max="1" width="14.453125" style="1" bestFit="1" customWidth="1"/>
    <col min="2" max="2" width="16.7265625" style="1" bestFit="1" customWidth="1"/>
    <col min="3" max="3" width="16.81640625" style="1" bestFit="1" customWidth="1"/>
    <col min="4" max="4" width="15.54296875" style="1" customWidth="1"/>
    <col min="5" max="5" width="14.7265625" style="1" customWidth="1"/>
    <col min="6" max="6" width="15.26953125" style="1" customWidth="1"/>
    <col min="7" max="16384" width="11.453125" style="1"/>
  </cols>
  <sheetData>
    <row r="1" spans="1:6" ht="42.75" customHeight="1" x14ac:dyDescent="0.4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</row>
    <row r="2" spans="1:6" ht="20.149999999999999" customHeight="1" x14ac:dyDescent="0.45">
      <c r="A2" s="3" t="s">
        <v>20</v>
      </c>
      <c r="B2" s="3" t="s">
        <v>21</v>
      </c>
      <c r="C2" s="3" t="s">
        <v>16</v>
      </c>
      <c r="D2" s="4">
        <v>800</v>
      </c>
      <c r="E2" s="4">
        <v>400</v>
      </c>
      <c r="F2" s="4">
        <f t="shared" ref="F2:F17" si="0">D2-E2</f>
        <v>400</v>
      </c>
    </row>
    <row r="3" spans="1:6" ht="20.149999999999999" customHeight="1" x14ac:dyDescent="0.45">
      <c r="A3" s="3" t="s">
        <v>14</v>
      </c>
      <c r="B3" s="3" t="s">
        <v>15</v>
      </c>
      <c r="C3" s="3" t="s">
        <v>16</v>
      </c>
      <c r="D3" s="4">
        <v>1300</v>
      </c>
      <c r="E3" s="4">
        <v>500</v>
      </c>
      <c r="F3" s="4">
        <f t="shared" si="0"/>
        <v>800</v>
      </c>
    </row>
    <row r="4" spans="1:6" ht="20.149999999999999" customHeight="1" x14ac:dyDescent="0.45">
      <c r="A4" s="3" t="s">
        <v>14</v>
      </c>
      <c r="B4" s="3" t="s">
        <v>19</v>
      </c>
      <c r="C4" s="3" t="s">
        <v>18</v>
      </c>
      <c r="D4" s="4">
        <v>2000</v>
      </c>
      <c r="E4" s="4">
        <v>1650</v>
      </c>
      <c r="F4" s="4">
        <f t="shared" si="0"/>
        <v>350</v>
      </c>
    </row>
    <row r="5" spans="1:6" ht="20.149999999999999" customHeight="1" x14ac:dyDescent="0.45">
      <c r="A5" s="3" t="s">
        <v>14</v>
      </c>
      <c r="B5" s="3" t="s">
        <v>15</v>
      </c>
      <c r="C5" s="3" t="s">
        <v>16</v>
      </c>
      <c r="D5" s="4">
        <v>1200</v>
      </c>
      <c r="E5" s="4">
        <v>900</v>
      </c>
      <c r="F5" s="4">
        <f t="shared" si="0"/>
        <v>300</v>
      </c>
    </row>
    <row r="6" spans="1:6" ht="20.149999999999999" customHeight="1" x14ac:dyDescent="0.45">
      <c r="A6" s="3" t="s">
        <v>17</v>
      </c>
      <c r="B6" s="3" t="s">
        <v>10</v>
      </c>
      <c r="C6" s="3" t="s">
        <v>9</v>
      </c>
      <c r="D6" s="4">
        <v>3000</v>
      </c>
      <c r="E6" s="4">
        <v>300</v>
      </c>
      <c r="F6" s="4">
        <f t="shared" si="0"/>
        <v>2700</v>
      </c>
    </row>
    <row r="7" spans="1:6" ht="20.149999999999999" customHeight="1" x14ac:dyDescent="0.45">
      <c r="A7" s="3" t="s">
        <v>17</v>
      </c>
      <c r="B7" s="3" t="s">
        <v>13</v>
      </c>
      <c r="C7" s="3" t="s">
        <v>9</v>
      </c>
      <c r="D7" s="4">
        <v>900</v>
      </c>
      <c r="E7" s="4">
        <v>400</v>
      </c>
      <c r="F7" s="4">
        <f t="shared" si="0"/>
        <v>500</v>
      </c>
    </row>
    <row r="8" spans="1:6" ht="20.149999999999999" customHeight="1" x14ac:dyDescent="0.45">
      <c r="A8" s="3" t="s">
        <v>17</v>
      </c>
      <c r="B8" s="3" t="s">
        <v>10</v>
      </c>
      <c r="C8" s="3" t="s">
        <v>9</v>
      </c>
      <c r="D8" s="4">
        <v>1100</v>
      </c>
      <c r="E8" s="4">
        <v>400</v>
      </c>
      <c r="F8" s="4">
        <f t="shared" si="0"/>
        <v>700</v>
      </c>
    </row>
    <row r="9" spans="1:6" ht="20.149999999999999" customHeight="1" x14ac:dyDescent="0.45">
      <c r="A9" s="3" t="s">
        <v>12</v>
      </c>
      <c r="B9" s="3" t="s">
        <v>13</v>
      </c>
      <c r="C9" s="3" t="s">
        <v>9</v>
      </c>
      <c r="D9" s="4">
        <v>2000</v>
      </c>
      <c r="E9" s="4">
        <v>1000</v>
      </c>
      <c r="F9" s="4">
        <f t="shared" si="0"/>
        <v>1000</v>
      </c>
    </row>
    <row r="10" spans="1:6" ht="20.149999999999999" customHeight="1" x14ac:dyDescent="0.45">
      <c r="A10" s="3" t="s">
        <v>12</v>
      </c>
      <c r="B10" s="3" t="s">
        <v>10</v>
      </c>
      <c r="C10" s="3" t="s">
        <v>9</v>
      </c>
      <c r="D10" s="4">
        <v>800</v>
      </c>
      <c r="E10" s="4">
        <v>670</v>
      </c>
      <c r="F10" s="4">
        <f t="shared" si="0"/>
        <v>130</v>
      </c>
    </row>
    <row r="11" spans="1:6" ht="20.149999999999999" customHeight="1" x14ac:dyDescent="0.45">
      <c r="A11" s="3" t="s">
        <v>12</v>
      </c>
      <c r="B11" s="3" t="s">
        <v>22</v>
      </c>
      <c r="C11" s="3" t="s">
        <v>16</v>
      </c>
      <c r="D11" s="4">
        <v>1500</v>
      </c>
      <c r="E11" s="4">
        <v>500</v>
      </c>
      <c r="F11" s="4">
        <f t="shared" si="0"/>
        <v>1000</v>
      </c>
    </row>
    <row r="12" spans="1:6" ht="20.149999999999999" customHeight="1" x14ac:dyDescent="0.45">
      <c r="A12" s="3" t="s">
        <v>12</v>
      </c>
      <c r="B12" s="3" t="s">
        <v>22</v>
      </c>
      <c r="C12" s="3" t="s">
        <v>16</v>
      </c>
      <c r="D12" s="4">
        <v>2000</v>
      </c>
      <c r="E12" s="4">
        <v>700</v>
      </c>
      <c r="F12" s="4">
        <f t="shared" si="0"/>
        <v>1300</v>
      </c>
    </row>
    <row r="13" spans="1:6" ht="20.149999999999999" customHeight="1" x14ac:dyDescent="0.45">
      <c r="A13" s="3" t="s">
        <v>11</v>
      </c>
      <c r="B13" s="3" t="s">
        <v>7</v>
      </c>
      <c r="C13" s="3" t="s">
        <v>9</v>
      </c>
      <c r="D13" s="4">
        <v>800</v>
      </c>
      <c r="E13" s="4">
        <v>690</v>
      </c>
      <c r="F13" s="4">
        <f t="shared" si="0"/>
        <v>110</v>
      </c>
    </row>
    <row r="14" spans="1:6" ht="20.149999999999999" customHeight="1" x14ac:dyDescent="0.45">
      <c r="A14" s="3" t="s">
        <v>11</v>
      </c>
      <c r="B14" s="3" t="s">
        <v>8</v>
      </c>
      <c r="C14" s="3" t="s">
        <v>9</v>
      </c>
      <c r="D14" s="4">
        <v>3000</v>
      </c>
      <c r="E14" s="4">
        <v>2700</v>
      </c>
      <c r="F14" s="4">
        <f t="shared" si="0"/>
        <v>300</v>
      </c>
    </row>
    <row r="15" spans="1:6" ht="20.149999999999999" customHeight="1" x14ac:dyDescent="0.45">
      <c r="A15" s="3" t="s">
        <v>6</v>
      </c>
      <c r="B15" s="3" t="s">
        <v>7</v>
      </c>
      <c r="C15" s="3" t="s">
        <v>9</v>
      </c>
      <c r="D15" s="4">
        <v>1200</v>
      </c>
      <c r="E15" s="4">
        <v>1000</v>
      </c>
      <c r="F15" s="4">
        <f t="shared" si="0"/>
        <v>200</v>
      </c>
    </row>
    <row r="16" spans="1:6" ht="20.149999999999999" customHeight="1" x14ac:dyDescent="0.45">
      <c r="A16" s="3" t="s">
        <v>6</v>
      </c>
      <c r="B16" s="3" t="s">
        <v>8</v>
      </c>
      <c r="C16" s="3" t="s">
        <v>9</v>
      </c>
      <c r="D16" s="4">
        <v>1200</v>
      </c>
      <c r="E16" s="4">
        <v>230</v>
      </c>
      <c r="F16" s="4">
        <f t="shared" si="0"/>
        <v>970</v>
      </c>
    </row>
    <row r="17" spans="1:6" ht="20.149999999999999" customHeight="1" x14ac:dyDescent="0.45">
      <c r="A17" s="3" t="s">
        <v>6</v>
      </c>
      <c r="B17" s="3" t="s">
        <v>10</v>
      </c>
      <c r="C17" s="3" t="s">
        <v>9</v>
      </c>
      <c r="D17" s="4">
        <v>1200</v>
      </c>
      <c r="E17" s="4">
        <v>400</v>
      </c>
      <c r="F17" s="4">
        <f t="shared" si="0"/>
        <v>800</v>
      </c>
    </row>
    <row r="22" spans="1:6" x14ac:dyDescent="0.45">
      <c r="D22" s="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Footer>&amp;C&amp;F
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Normal="100" workbookViewId="0">
      <selection activeCell="D2" sqref="D2"/>
    </sheetView>
  </sheetViews>
  <sheetFormatPr baseColWidth="10" defaultColWidth="11.453125" defaultRowHeight="18.5" outlineLevelRow="2" x14ac:dyDescent="0.45"/>
  <cols>
    <col min="1" max="1" width="23.1796875" style="1" customWidth="1"/>
    <col min="2" max="2" width="17.26953125" style="1" customWidth="1"/>
    <col min="3" max="3" width="20" style="1" customWidth="1"/>
    <col min="4" max="4" width="17.81640625" style="1" customWidth="1"/>
    <col min="5" max="5" width="14.1796875" style="1" customWidth="1"/>
    <col min="6" max="6" width="15.81640625" style="1" customWidth="1"/>
    <col min="7" max="16384" width="11.453125" style="1"/>
  </cols>
  <sheetData>
    <row r="1" spans="1:6" ht="45" customHeight="1" x14ac:dyDescent="0.4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spans="1:6" ht="20.149999999999999" customHeight="1" outlineLevel="2" x14ac:dyDescent="0.45">
      <c r="A2" s="9" t="s">
        <v>20</v>
      </c>
      <c r="B2" s="9" t="s">
        <v>21</v>
      </c>
      <c r="C2" s="9" t="s">
        <v>16</v>
      </c>
      <c r="D2" s="10">
        <v>800</v>
      </c>
      <c r="E2" s="10">
        <v>400</v>
      </c>
      <c r="F2" s="11">
        <f t="shared" ref="F2:F22" si="0">D2-E2</f>
        <v>400</v>
      </c>
    </row>
    <row r="3" spans="1:6" ht="20.149999999999999" customHeight="1" outlineLevel="1" x14ac:dyDescent="0.45">
      <c r="A3" s="9" t="s">
        <v>28</v>
      </c>
      <c r="B3" s="9"/>
      <c r="C3" s="9"/>
      <c r="D3" s="10">
        <f>SUBTOTAL(9,D2:D2)</f>
        <v>800</v>
      </c>
      <c r="E3" s="10">
        <f>SUBTOTAL(9,E2:E2)</f>
        <v>400</v>
      </c>
      <c r="F3" s="11">
        <f>SUBTOTAL(9,F2:F2)</f>
        <v>400</v>
      </c>
    </row>
    <row r="4" spans="1:6" ht="20.149999999999999" customHeight="1" outlineLevel="2" x14ac:dyDescent="0.45">
      <c r="A4" s="9" t="s">
        <v>14</v>
      </c>
      <c r="B4" s="9" t="s">
        <v>15</v>
      </c>
      <c r="C4" s="9" t="s">
        <v>16</v>
      </c>
      <c r="D4" s="10">
        <v>1300</v>
      </c>
      <c r="E4" s="10">
        <v>500</v>
      </c>
      <c r="F4" s="11">
        <f t="shared" si="0"/>
        <v>800</v>
      </c>
    </row>
    <row r="5" spans="1:6" ht="20.149999999999999" customHeight="1" outlineLevel="2" x14ac:dyDescent="0.45">
      <c r="A5" s="9" t="s">
        <v>14</v>
      </c>
      <c r="B5" s="9" t="s">
        <v>19</v>
      </c>
      <c r="C5" s="9" t="s">
        <v>18</v>
      </c>
      <c r="D5" s="10">
        <v>2000</v>
      </c>
      <c r="E5" s="10">
        <v>1650</v>
      </c>
      <c r="F5" s="11">
        <f t="shared" si="0"/>
        <v>350</v>
      </c>
    </row>
    <row r="6" spans="1:6" ht="20.149999999999999" customHeight="1" outlineLevel="2" x14ac:dyDescent="0.45">
      <c r="A6" s="9" t="s">
        <v>14</v>
      </c>
      <c r="B6" s="9" t="s">
        <v>15</v>
      </c>
      <c r="C6" s="9" t="s">
        <v>16</v>
      </c>
      <c r="D6" s="10">
        <v>1200</v>
      </c>
      <c r="E6" s="10">
        <v>900</v>
      </c>
      <c r="F6" s="11">
        <f t="shared" si="0"/>
        <v>300</v>
      </c>
    </row>
    <row r="7" spans="1:6" ht="20.149999999999999" customHeight="1" outlineLevel="1" x14ac:dyDescent="0.45">
      <c r="A7" s="12" t="s">
        <v>29</v>
      </c>
      <c r="B7" s="12"/>
      <c r="C7" s="12"/>
      <c r="D7" s="13">
        <f>SUBTOTAL(9,D4:D6)</f>
        <v>4500</v>
      </c>
      <c r="E7" s="13">
        <f>SUBTOTAL(9,E4:E6)</f>
        <v>3050</v>
      </c>
      <c r="F7" s="14">
        <f>SUBTOTAL(9,F4:F6)</f>
        <v>1450</v>
      </c>
    </row>
    <row r="8" spans="1:6" ht="20.149999999999999" customHeight="1" outlineLevel="2" x14ac:dyDescent="0.45">
      <c r="A8" s="9" t="s">
        <v>17</v>
      </c>
      <c r="B8" s="9" t="s">
        <v>10</v>
      </c>
      <c r="C8" s="9" t="s">
        <v>9</v>
      </c>
      <c r="D8" s="10">
        <v>3000</v>
      </c>
      <c r="E8" s="10">
        <v>300</v>
      </c>
      <c r="F8" s="11">
        <f t="shared" si="0"/>
        <v>2700</v>
      </c>
    </row>
    <row r="9" spans="1:6" ht="20.149999999999999" customHeight="1" outlineLevel="2" x14ac:dyDescent="0.45">
      <c r="A9" s="9" t="s">
        <v>17</v>
      </c>
      <c r="B9" s="9" t="s">
        <v>13</v>
      </c>
      <c r="C9" s="9" t="s">
        <v>9</v>
      </c>
      <c r="D9" s="10">
        <v>900</v>
      </c>
      <c r="E9" s="10">
        <v>400</v>
      </c>
      <c r="F9" s="11">
        <f t="shared" si="0"/>
        <v>500</v>
      </c>
    </row>
    <row r="10" spans="1:6" ht="20.149999999999999" customHeight="1" outlineLevel="2" x14ac:dyDescent="0.45">
      <c r="A10" s="9" t="s">
        <v>17</v>
      </c>
      <c r="B10" s="9" t="s">
        <v>10</v>
      </c>
      <c r="C10" s="9" t="s">
        <v>9</v>
      </c>
      <c r="D10" s="10">
        <v>1100</v>
      </c>
      <c r="E10" s="10">
        <v>400</v>
      </c>
      <c r="F10" s="11">
        <f t="shared" si="0"/>
        <v>700</v>
      </c>
    </row>
    <row r="11" spans="1:6" ht="20.149999999999999" customHeight="1" outlineLevel="1" x14ac:dyDescent="0.45">
      <c r="A11" s="12" t="s">
        <v>25</v>
      </c>
      <c r="B11" s="12"/>
      <c r="C11" s="12"/>
      <c r="D11" s="13">
        <f>SUBTOTAL(9,D8:D10)</f>
        <v>5000</v>
      </c>
      <c r="E11" s="13">
        <f>SUBTOTAL(9,E8:E10)</f>
        <v>1100</v>
      </c>
      <c r="F11" s="14">
        <f>SUBTOTAL(9,F8:F10)</f>
        <v>3900</v>
      </c>
    </row>
    <row r="12" spans="1:6" ht="20.149999999999999" customHeight="1" outlineLevel="2" x14ac:dyDescent="0.45">
      <c r="A12" s="9" t="s">
        <v>12</v>
      </c>
      <c r="B12" s="9" t="s">
        <v>13</v>
      </c>
      <c r="C12" s="9" t="s">
        <v>9</v>
      </c>
      <c r="D12" s="10">
        <v>2000</v>
      </c>
      <c r="E12" s="10">
        <v>1000</v>
      </c>
      <c r="F12" s="11">
        <f t="shared" si="0"/>
        <v>1000</v>
      </c>
    </row>
    <row r="13" spans="1:6" ht="20.149999999999999" customHeight="1" outlineLevel="2" x14ac:dyDescent="0.45">
      <c r="A13" s="9" t="s">
        <v>12</v>
      </c>
      <c r="B13" s="9" t="s">
        <v>10</v>
      </c>
      <c r="C13" s="9" t="s">
        <v>9</v>
      </c>
      <c r="D13" s="10">
        <v>800</v>
      </c>
      <c r="E13" s="10">
        <v>670</v>
      </c>
      <c r="F13" s="11">
        <f t="shared" si="0"/>
        <v>130</v>
      </c>
    </row>
    <row r="14" spans="1:6" ht="20.149999999999999" customHeight="1" outlineLevel="2" x14ac:dyDescent="0.45">
      <c r="A14" s="9" t="s">
        <v>12</v>
      </c>
      <c r="B14" s="9" t="s">
        <v>22</v>
      </c>
      <c r="C14" s="9" t="s">
        <v>16</v>
      </c>
      <c r="D14" s="10">
        <v>1500</v>
      </c>
      <c r="E14" s="10">
        <v>500</v>
      </c>
      <c r="F14" s="11">
        <f t="shared" si="0"/>
        <v>1000</v>
      </c>
    </row>
    <row r="15" spans="1:6" ht="20.149999999999999" customHeight="1" outlineLevel="2" x14ac:dyDescent="0.45">
      <c r="A15" s="9" t="s">
        <v>12</v>
      </c>
      <c r="B15" s="9" t="s">
        <v>22</v>
      </c>
      <c r="C15" s="9" t="s">
        <v>16</v>
      </c>
      <c r="D15" s="10">
        <v>2000</v>
      </c>
      <c r="E15" s="10">
        <v>700</v>
      </c>
      <c r="F15" s="11">
        <f t="shared" si="0"/>
        <v>1300</v>
      </c>
    </row>
    <row r="16" spans="1:6" ht="20.149999999999999" customHeight="1" outlineLevel="1" x14ac:dyDescent="0.45">
      <c r="A16" s="12" t="s">
        <v>26</v>
      </c>
      <c r="B16" s="12"/>
      <c r="C16" s="12"/>
      <c r="D16" s="13">
        <f>SUBTOTAL(9,D12:D15)</f>
        <v>6300</v>
      </c>
      <c r="E16" s="13">
        <f>SUBTOTAL(9,E12:E15)</f>
        <v>2870</v>
      </c>
      <c r="F16" s="14">
        <f>SUBTOTAL(9,F12:F15)</f>
        <v>3430</v>
      </c>
    </row>
    <row r="17" spans="1:6" ht="20.149999999999999" customHeight="1" outlineLevel="2" x14ac:dyDescent="0.45">
      <c r="A17" s="9" t="s">
        <v>11</v>
      </c>
      <c r="B17" s="9" t="s">
        <v>7</v>
      </c>
      <c r="C17" s="9" t="s">
        <v>9</v>
      </c>
      <c r="D17" s="10">
        <v>800</v>
      </c>
      <c r="E17" s="10">
        <v>690</v>
      </c>
      <c r="F17" s="11">
        <f t="shared" si="0"/>
        <v>110</v>
      </c>
    </row>
    <row r="18" spans="1:6" ht="20.149999999999999" customHeight="1" outlineLevel="2" x14ac:dyDescent="0.45">
      <c r="A18" s="9" t="s">
        <v>11</v>
      </c>
      <c r="B18" s="9" t="s">
        <v>8</v>
      </c>
      <c r="C18" s="9" t="s">
        <v>9</v>
      </c>
      <c r="D18" s="10">
        <v>3000</v>
      </c>
      <c r="E18" s="10">
        <v>2700</v>
      </c>
      <c r="F18" s="11">
        <f t="shared" si="0"/>
        <v>300</v>
      </c>
    </row>
    <row r="19" spans="1:6" ht="20.149999999999999" customHeight="1" outlineLevel="1" x14ac:dyDescent="0.45">
      <c r="A19" s="12" t="s">
        <v>27</v>
      </c>
      <c r="B19" s="12"/>
      <c r="C19" s="12"/>
      <c r="D19" s="13">
        <f>SUBTOTAL(9,D17:D18)</f>
        <v>3800</v>
      </c>
      <c r="E19" s="13">
        <f>SUBTOTAL(9,E17:E18)</f>
        <v>3390</v>
      </c>
      <c r="F19" s="14">
        <f>SUBTOTAL(9,F17:F18)</f>
        <v>410</v>
      </c>
    </row>
    <row r="20" spans="1:6" ht="20.149999999999999" customHeight="1" outlineLevel="2" x14ac:dyDescent="0.45">
      <c r="A20" s="9" t="s">
        <v>6</v>
      </c>
      <c r="B20" s="9" t="s">
        <v>7</v>
      </c>
      <c r="C20" s="9" t="s">
        <v>9</v>
      </c>
      <c r="D20" s="10">
        <v>1200</v>
      </c>
      <c r="E20" s="10">
        <v>1000</v>
      </c>
      <c r="F20" s="11">
        <f t="shared" si="0"/>
        <v>200</v>
      </c>
    </row>
    <row r="21" spans="1:6" ht="20.149999999999999" customHeight="1" outlineLevel="2" x14ac:dyDescent="0.45">
      <c r="A21" s="9" t="s">
        <v>6</v>
      </c>
      <c r="B21" s="9" t="s">
        <v>8</v>
      </c>
      <c r="C21" s="9" t="s">
        <v>9</v>
      </c>
      <c r="D21" s="10">
        <v>1200</v>
      </c>
      <c r="E21" s="10">
        <v>230</v>
      </c>
      <c r="F21" s="11">
        <f t="shared" si="0"/>
        <v>970</v>
      </c>
    </row>
    <row r="22" spans="1:6" ht="20.149999999999999" customHeight="1" outlineLevel="2" x14ac:dyDescent="0.45">
      <c r="A22" s="9" t="s">
        <v>6</v>
      </c>
      <c r="B22" s="9" t="s">
        <v>10</v>
      </c>
      <c r="C22" s="9" t="s">
        <v>9</v>
      </c>
      <c r="D22" s="10">
        <v>1200</v>
      </c>
      <c r="E22" s="10">
        <v>400</v>
      </c>
      <c r="F22" s="11">
        <f t="shared" si="0"/>
        <v>800</v>
      </c>
    </row>
    <row r="23" spans="1:6" ht="20.149999999999999" customHeight="1" outlineLevel="1" x14ac:dyDescent="0.45">
      <c r="A23" s="12" t="s">
        <v>23</v>
      </c>
      <c r="B23" s="12"/>
      <c r="C23" s="12"/>
      <c r="D23" s="13">
        <f>SUBTOTAL(9,D20:D22)</f>
        <v>3600</v>
      </c>
      <c r="E23" s="13">
        <f>SUBTOTAL(9,E20:E22)</f>
        <v>1630</v>
      </c>
      <c r="F23" s="14">
        <f>SUBTOTAL(9,F20:F22)</f>
        <v>1970</v>
      </c>
    </row>
    <row r="24" spans="1:6" ht="20.149999999999999" customHeight="1" x14ac:dyDescent="0.45">
      <c r="A24" s="12" t="s">
        <v>24</v>
      </c>
      <c r="B24" s="12"/>
      <c r="C24" s="12"/>
      <c r="D24" s="13">
        <f>SUBTOTAL(9,D2:D22)</f>
        <v>24000</v>
      </c>
      <c r="E24" s="13">
        <f>SUBTOTAL(9,E2:E22)</f>
        <v>12440</v>
      </c>
      <c r="F24" s="14">
        <f>SUBTOTAL(9,F2:F22)</f>
        <v>11560</v>
      </c>
    </row>
    <row r="29" spans="1:6" x14ac:dyDescent="0.45">
      <c r="D29" s="2"/>
    </row>
    <row r="30" spans="1:6" x14ac:dyDescent="0.45">
      <c r="D30" s="2"/>
    </row>
    <row r="31" spans="1:6" x14ac:dyDescent="0.45">
      <c r="D31" s="2"/>
    </row>
  </sheetData>
  <sheetProtection sheet="1" objects="1" scenarios="1" selectLockedCells="1" selectUnlockedCells="1"/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&amp;R&amp;G</oddHeader>
    <oddFooter>&amp;C&amp;F
&amp;A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1ABE-3D2B-4DDA-BB48-C96ED548C871}">
  <dimension ref="A3:D8"/>
  <sheetViews>
    <sheetView tabSelected="1" workbookViewId="0">
      <selection activeCell="F8" sqref="F8"/>
    </sheetView>
  </sheetViews>
  <sheetFormatPr baseColWidth="10" defaultRowHeight="12.5" x14ac:dyDescent="0.25"/>
  <cols>
    <col min="1" max="1" width="20.1796875" bestFit="1" customWidth="1"/>
    <col min="2" max="2" width="17.1796875" bestFit="1" customWidth="1"/>
    <col min="3" max="3" width="19.6328125" bestFit="1" customWidth="1"/>
    <col min="4" max="4" width="19.26953125" bestFit="1" customWidth="1"/>
  </cols>
  <sheetData>
    <row r="3" spans="1:4" x14ac:dyDescent="0.25">
      <c r="A3" s="59" t="s">
        <v>104</v>
      </c>
      <c r="B3" t="s">
        <v>109</v>
      </c>
      <c r="C3" t="s">
        <v>111</v>
      </c>
      <c r="D3" t="s">
        <v>110</v>
      </c>
    </row>
    <row r="4" spans="1:4" x14ac:dyDescent="0.25">
      <c r="A4" s="60" t="s">
        <v>39</v>
      </c>
      <c r="B4">
        <v>13.2</v>
      </c>
      <c r="C4">
        <v>12.4</v>
      </c>
      <c r="D4">
        <v>14.8</v>
      </c>
    </row>
    <row r="5" spans="1:4" x14ac:dyDescent="0.25">
      <c r="A5" s="60" t="s">
        <v>59</v>
      </c>
      <c r="B5">
        <v>18.333333333333332</v>
      </c>
      <c r="C5">
        <v>16</v>
      </c>
      <c r="D5">
        <v>18.333333333333332</v>
      </c>
    </row>
    <row r="6" spans="1:4" x14ac:dyDescent="0.25">
      <c r="A6" s="60" t="s">
        <v>66</v>
      </c>
      <c r="B6">
        <v>19.5</v>
      </c>
      <c r="C6">
        <v>17.5</v>
      </c>
      <c r="D6">
        <v>18.5</v>
      </c>
    </row>
    <row r="7" spans="1:4" x14ac:dyDescent="0.25">
      <c r="A7" s="60" t="s">
        <v>48</v>
      </c>
      <c r="B7">
        <v>17.333333333333332</v>
      </c>
      <c r="C7">
        <v>14.166666666666666</v>
      </c>
      <c r="D7">
        <v>15.5</v>
      </c>
    </row>
    <row r="8" spans="1:4" x14ac:dyDescent="0.25">
      <c r="A8" s="60" t="s">
        <v>105</v>
      </c>
      <c r="B8">
        <v>16.5</v>
      </c>
      <c r="C8">
        <v>14.375</v>
      </c>
      <c r="D8">
        <v>16.1875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I15" sqref="I15"/>
    </sheetView>
  </sheetViews>
  <sheetFormatPr baseColWidth="10" defaultRowHeight="12.5" x14ac:dyDescent="0.25"/>
  <sheetData>
    <row r="1" spans="1:7" ht="14.5" x14ac:dyDescent="0.25">
      <c r="A1" s="15"/>
      <c r="B1" s="62" t="s">
        <v>30</v>
      </c>
      <c r="C1" s="63"/>
      <c r="D1" s="64"/>
      <c r="E1" s="62" t="s">
        <v>31</v>
      </c>
      <c r="F1" s="63"/>
      <c r="G1" s="64"/>
    </row>
    <row r="2" spans="1:7" ht="14.5" x14ac:dyDescent="0.35">
      <c r="A2" s="16" t="s">
        <v>32</v>
      </c>
      <c r="B2" s="17" t="s">
        <v>33</v>
      </c>
      <c r="C2" s="17" t="s">
        <v>34</v>
      </c>
      <c r="D2" s="17" t="s">
        <v>35</v>
      </c>
      <c r="E2" s="17" t="s">
        <v>36</v>
      </c>
      <c r="F2" s="17" t="s">
        <v>37</v>
      </c>
      <c r="G2" s="17" t="s">
        <v>38</v>
      </c>
    </row>
    <row r="3" spans="1:7" x14ac:dyDescent="0.25">
      <c r="A3" s="18" t="s">
        <v>39</v>
      </c>
      <c r="B3" s="19" t="s">
        <v>40</v>
      </c>
      <c r="C3" s="19" t="s">
        <v>41</v>
      </c>
      <c r="D3" s="20">
        <v>36137</v>
      </c>
      <c r="E3" s="21">
        <v>11</v>
      </c>
      <c r="F3" s="21">
        <v>10</v>
      </c>
      <c r="G3" s="21">
        <v>10</v>
      </c>
    </row>
    <row r="4" spans="1:7" x14ac:dyDescent="0.25">
      <c r="A4" s="18" t="s">
        <v>39</v>
      </c>
      <c r="B4" s="19" t="s">
        <v>42</v>
      </c>
      <c r="C4" s="19" t="s">
        <v>43</v>
      </c>
      <c r="D4" s="20">
        <v>35885</v>
      </c>
      <c r="E4" s="21">
        <v>10</v>
      </c>
      <c r="F4" s="21">
        <v>11</v>
      </c>
      <c r="G4" s="21">
        <v>12</v>
      </c>
    </row>
    <row r="5" spans="1:7" x14ac:dyDescent="0.25">
      <c r="A5" s="18" t="s">
        <v>39</v>
      </c>
      <c r="B5" s="19" t="s">
        <v>44</v>
      </c>
      <c r="C5" s="19" t="s">
        <v>45</v>
      </c>
      <c r="D5" s="20">
        <v>35977</v>
      </c>
      <c r="E5" s="21">
        <v>13</v>
      </c>
      <c r="F5" s="21">
        <v>18</v>
      </c>
      <c r="G5" s="21">
        <v>10</v>
      </c>
    </row>
    <row r="6" spans="1:7" x14ac:dyDescent="0.25">
      <c r="A6" s="18" t="s">
        <v>39</v>
      </c>
      <c r="B6" s="19" t="s">
        <v>46</v>
      </c>
      <c r="C6" s="19" t="s">
        <v>47</v>
      </c>
      <c r="D6" s="20">
        <v>36129</v>
      </c>
      <c r="E6" s="21">
        <v>14</v>
      </c>
      <c r="F6" s="21">
        <v>15</v>
      </c>
      <c r="G6" s="21">
        <v>11</v>
      </c>
    </row>
    <row r="7" spans="1:7" x14ac:dyDescent="0.25">
      <c r="A7" s="18" t="s">
        <v>48</v>
      </c>
      <c r="B7" s="19" t="s">
        <v>49</v>
      </c>
      <c r="C7" s="19" t="s">
        <v>50</v>
      </c>
      <c r="D7" s="20">
        <v>35906</v>
      </c>
      <c r="E7" s="21">
        <v>14</v>
      </c>
      <c r="F7" s="21">
        <v>13</v>
      </c>
      <c r="G7" s="21">
        <v>13</v>
      </c>
    </row>
    <row r="8" spans="1:7" x14ac:dyDescent="0.25">
      <c r="A8" s="18" t="s">
        <v>48</v>
      </c>
      <c r="B8" s="19" t="s">
        <v>51</v>
      </c>
      <c r="C8" s="19" t="s">
        <v>52</v>
      </c>
      <c r="D8" s="20">
        <v>35856</v>
      </c>
      <c r="E8" s="21">
        <v>19</v>
      </c>
      <c r="F8" s="21">
        <v>15</v>
      </c>
      <c r="G8" s="21">
        <v>13</v>
      </c>
    </row>
    <row r="9" spans="1:7" x14ac:dyDescent="0.25">
      <c r="A9" s="18" t="s">
        <v>48</v>
      </c>
      <c r="B9" s="19" t="s">
        <v>53</v>
      </c>
      <c r="C9" s="19" t="s">
        <v>54</v>
      </c>
      <c r="D9" s="20">
        <v>35890</v>
      </c>
      <c r="E9" s="21">
        <v>15</v>
      </c>
      <c r="F9" s="21">
        <v>16</v>
      </c>
      <c r="G9" s="21">
        <v>15</v>
      </c>
    </row>
    <row r="10" spans="1:7" x14ac:dyDescent="0.25">
      <c r="A10" s="18" t="s">
        <v>48</v>
      </c>
      <c r="B10" s="19" t="s">
        <v>55</v>
      </c>
      <c r="C10" s="19" t="s">
        <v>56</v>
      </c>
      <c r="D10" s="20">
        <v>35779</v>
      </c>
      <c r="E10" s="21">
        <v>17</v>
      </c>
      <c r="F10" s="21">
        <v>16</v>
      </c>
      <c r="G10" s="21">
        <v>15</v>
      </c>
    </row>
    <row r="11" spans="1:7" x14ac:dyDescent="0.25">
      <c r="A11" s="21" t="s">
        <v>48</v>
      </c>
      <c r="B11" s="19" t="s">
        <v>57</v>
      </c>
      <c r="C11" s="19" t="s">
        <v>58</v>
      </c>
      <c r="D11" s="20">
        <v>35979</v>
      </c>
      <c r="E11" s="21">
        <v>19</v>
      </c>
      <c r="F11" s="21">
        <v>16</v>
      </c>
      <c r="G11" s="21">
        <v>14</v>
      </c>
    </row>
    <row r="12" spans="1:7" x14ac:dyDescent="0.25">
      <c r="A12" s="21" t="s">
        <v>59</v>
      </c>
      <c r="B12" s="19" t="s">
        <v>60</v>
      </c>
      <c r="C12" s="19" t="s">
        <v>61</v>
      </c>
      <c r="D12" s="20">
        <v>36017</v>
      </c>
      <c r="E12" s="21">
        <v>18</v>
      </c>
      <c r="F12" s="21">
        <v>17</v>
      </c>
      <c r="G12" s="21">
        <v>15</v>
      </c>
    </row>
    <row r="13" spans="1:7" x14ac:dyDescent="0.25">
      <c r="A13" s="21" t="s">
        <v>48</v>
      </c>
      <c r="B13" s="19" t="s">
        <v>46</v>
      </c>
      <c r="C13" s="19" t="s">
        <v>47</v>
      </c>
      <c r="D13" s="20">
        <v>35897</v>
      </c>
      <c r="E13" s="21">
        <v>20</v>
      </c>
      <c r="F13" s="21">
        <v>17</v>
      </c>
      <c r="G13" s="21">
        <v>15</v>
      </c>
    </row>
    <row r="14" spans="1:7" x14ac:dyDescent="0.25">
      <c r="A14" s="21" t="s">
        <v>59</v>
      </c>
      <c r="B14" s="19" t="s">
        <v>62</v>
      </c>
      <c r="C14" s="19" t="s">
        <v>63</v>
      </c>
      <c r="D14" s="20">
        <v>36143</v>
      </c>
      <c r="E14" s="21">
        <v>18</v>
      </c>
      <c r="F14" s="21">
        <v>19</v>
      </c>
      <c r="G14" s="21">
        <v>16</v>
      </c>
    </row>
    <row r="15" spans="1:7" x14ac:dyDescent="0.25">
      <c r="A15" s="21" t="s">
        <v>59</v>
      </c>
      <c r="B15" s="19" t="s">
        <v>64</v>
      </c>
      <c r="C15" s="19" t="s">
        <v>65</v>
      </c>
      <c r="D15" s="20">
        <v>35810</v>
      </c>
      <c r="E15" s="21">
        <v>19</v>
      </c>
      <c r="F15" s="21">
        <v>19</v>
      </c>
      <c r="G15" s="21">
        <v>17</v>
      </c>
    </row>
    <row r="16" spans="1:7" x14ac:dyDescent="0.25">
      <c r="A16" s="21" t="s">
        <v>66</v>
      </c>
      <c r="B16" s="19" t="s">
        <v>67</v>
      </c>
      <c r="C16" s="19" t="s">
        <v>68</v>
      </c>
      <c r="D16" s="20">
        <v>35909</v>
      </c>
      <c r="E16" s="21">
        <v>20</v>
      </c>
      <c r="F16" s="21">
        <v>18</v>
      </c>
      <c r="G16" s="21">
        <v>17</v>
      </c>
    </row>
    <row r="17" spans="1:7" x14ac:dyDescent="0.25">
      <c r="A17" s="21" t="s">
        <v>66</v>
      </c>
      <c r="B17" s="19" t="s">
        <v>46</v>
      </c>
      <c r="C17" s="19" t="s">
        <v>69</v>
      </c>
      <c r="D17" s="20">
        <v>35871</v>
      </c>
      <c r="E17" s="21">
        <v>19</v>
      </c>
      <c r="F17" s="21">
        <v>19</v>
      </c>
      <c r="G17" s="21">
        <v>18</v>
      </c>
    </row>
    <row r="18" spans="1:7" x14ac:dyDescent="0.25">
      <c r="A18" s="21" t="s">
        <v>39</v>
      </c>
      <c r="B18" s="19" t="s">
        <v>70</v>
      </c>
      <c r="C18" s="19" t="s">
        <v>71</v>
      </c>
      <c r="D18" s="20">
        <v>36023</v>
      </c>
      <c r="E18" s="21">
        <v>18</v>
      </c>
      <c r="F18" s="21">
        <v>20</v>
      </c>
      <c r="G18" s="21">
        <v>19</v>
      </c>
    </row>
  </sheetData>
  <mergeCells count="2">
    <mergeCell ref="B1:D1"/>
    <mergeCell ref="E1:G1"/>
  </mergeCells>
  <dataValidations count="1">
    <dataValidation type="whole" errorStyle="warning" allowBlank="1" showInputMessage="1" showErrorMessage="1" errorTitle="Attention" error="Vous avez saisi une note non comprise entre 0 et 20" sqref="E3:G18" xr:uid="{00000000-0002-0000-0200-000000000000}">
      <formula1>0</formula1>
      <formula2>20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E16" sqref="A1:G22"/>
    </sheetView>
  </sheetViews>
  <sheetFormatPr baseColWidth="10" defaultRowHeight="12.5" x14ac:dyDescent="0.25"/>
  <sheetData>
    <row r="1" spans="1:7" ht="14.5" x14ac:dyDescent="0.35">
      <c r="A1" s="22" t="s">
        <v>32</v>
      </c>
      <c r="B1" s="22" t="s">
        <v>33</v>
      </c>
      <c r="C1" s="22" t="s">
        <v>34</v>
      </c>
      <c r="D1" s="22" t="s">
        <v>35</v>
      </c>
      <c r="E1" s="22" t="s">
        <v>36</v>
      </c>
      <c r="F1" s="22" t="s">
        <v>37</v>
      </c>
      <c r="G1" s="22" t="s">
        <v>38</v>
      </c>
    </row>
    <row r="2" spans="1:7" x14ac:dyDescent="0.25">
      <c r="A2" s="18" t="s">
        <v>39</v>
      </c>
      <c r="B2" s="23" t="s">
        <v>40</v>
      </c>
      <c r="C2" s="23" t="s">
        <v>41</v>
      </c>
      <c r="D2" s="24">
        <v>36137</v>
      </c>
      <c r="E2" s="25">
        <v>11</v>
      </c>
      <c r="F2" s="25">
        <v>10</v>
      </c>
      <c r="G2" s="25">
        <v>10</v>
      </c>
    </row>
    <row r="3" spans="1:7" x14ac:dyDescent="0.25">
      <c r="A3" s="18" t="s">
        <v>39</v>
      </c>
      <c r="B3" s="23" t="s">
        <v>42</v>
      </c>
      <c r="C3" s="23" t="s">
        <v>43</v>
      </c>
      <c r="D3" s="24">
        <v>35885</v>
      </c>
      <c r="E3" s="25">
        <v>10</v>
      </c>
      <c r="F3" s="25">
        <v>11</v>
      </c>
      <c r="G3" s="25">
        <v>12</v>
      </c>
    </row>
    <row r="4" spans="1:7" x14ac:dyDescent="0.25">
      <c r="A4" s="18" t="s">
        <v>39</v>
      </c>
      <c r="B4" s="23" t="s">
        <v>44</v>
      </c>
      <c r="C4" s="23" t="s">
        <v>45</v>
      </c>
      <c r="D4" s="24">
        <v>35977</v>
      </c>
      <c r="E4" s="25">
        <v>13</v>
      </c>
      <c r="F4" s="25">
        <v>12</v>
      </c>
      <c r="G4" s="25">
        <v>10</v>
      </c>
    </row>
    <row r="5" spans="1:7" x14ac:dyDescent="0.25">
      <c r="A5" s="18" t="s">
        <v>39</v>
      </c>
      <c r="B5" s="23" t="s">
        <v>46</v>
      </c>
      <c r="C5" s="23" t="s">
        <v>47</v>
      </c>
      <c r="D5" s="24">
        <v>36129</v>
      </c>
      <c r="E5" s="25">
        <v>14</v>
      </c>
      <c r="F5" s="25">
        <v>15</v>
      </c>
      <c r="G5" s="25">
        <v>11</v>
      </c>
    </row>
    <row r="6" spans="1:7" x14ac:dyDescent="0.25">
      <c r="A6" s="18" t="s">
        <v>39</v>
      </c>
      <c r="B6" s="23" t="s">
        <v>70</v>
      </c>
      <c r="C6" s="23" t="s">
        <v>71</v>
      </c>
      <c r="D6" s="24">
        <v>36023</v>
      </c>
      <c r="E6" s="25">
        <v>23</v>
      </c>
      <c r="F6" s="25">
        <v>20</v>
      </c>
      <c r="G6" s="25">
        <v>19</v>
      </c>
    </row>
    <row r="7" spans="1:7" ht="14.5" x14ac:dyDescent="0.35">
      <c r="A7" s="26" t="s">
        <v>72</v>
      </c>
      <c r="B7" s="23"/>
      <c r="C7" s="23"/>
      <c r="D7" s="24"/>
      <c r="E7" s="25">
        <f>SUBTOTAL(1,E2:E6)</f>
        <v>14.2</v>
      </c>
      <c r="F7" s="25">
        <f>SUBTOTAL(1,F2:F6)</f>
        <v>13.6</v>
      </c>
      <c r="G7" s="25">
        <f>SUBTOTAL(1,G2:G6)</f>
        <v>12.4</v>
      </c>
    </row>
    <row r="8" spans="1:7" x14ac:dyDescent="0.25">
      <c r="A8" s="18" t="s">
        <v>59</v>
      </c>
      <c r="B8" s="23" t="s">
        <v>60</v>
      </c>
      <c r="C8" s="23" t="s">
        <v>61</v>
      </c>
      <c r="D8" s="24">
        <v>36017</v>
      </c>
      <c r="E8" s="25">
        <v>18</v>
      </c>
      <c r="F8" s="25">
        <v>17</v>
      </c>
      <c r="G8" s="25">
        <v>15</v>
      </c>
    </row>
    <row r="9" spans="1:7" x14ac:dyDescent="0.25">
      <c r="A9" s="18" t="s">
        <v>59</v>
      </c>
      <c r="B9" s="23" t="s">
        <v>62</v>
      </c>
      <c r="C9" s="23" t="s">
        <v>63</v>
      </c>
      <c r="D9" s="24">
        <v>36143</v>
      </c>
      <c r="E9" s="25">
        <v>18</v>
      </c>
      <c r="F9" s="25">
        <v>19</v>
      </c>
      <c r="G9" s="25">
        <v>16</v>
      </c>
    </row>
    <row r="10" spans="1:7" x14ac:dyDescent="0.25">
      <c r="A10" s="18" t="s">
        <v>59</v>
      </c>
      <c r="B10" s="23" t="s">
        <v>64</v>
      </c>
      <c r="C10" s="23" t="s">
        <v>65</v>
      </c>
      <c r="D10" s="24">
        <v>35810</v>
      </c>
      <c r="E10" s="25">
        <v>19</v>
      </c>
      <c r="F10" s="25">
        <v>19</v>
      </c>
      <c r="G10" s="25">
        <v>17</v>
      </c>
    </row>
    <row r="11" spans="1:7" ht="14.5" x14ac:dyDescent="0.35">
      <c r="A11" s="26" t="s">
        <v>73</v>
      </c>
      <c r="B11" s="23"/>
      <c r="C11" s="23"/>
      <c r="D11" s="24"/>
      <c r="E11" s="25">
        <f>SUBTOTAL(1,E8:E10)</f>
        <v>18.333333333333332</v>
      </c>
      <c r="F11" s="25">
        <f>SUBTOTAL(1,F8:F10)</f>
        <v>18.333333333333332</v>
      </c>
      <c r="G11" s="25">
        <f>SUBTOTAL(1,G8:G10)</f>
        <v>16</v>
      </c>
    </row>
    <row r="12" spans="1:7" x14ac:dyDescent="0.25">
      <c r="A12" s="18" t="s">
        <v>66</v>
      </c>
      <c r="B12" s="23" t="s">
        <v>67</v>
      </c>
      <c r="C12" s="23" t="s">
        <v>68</v>
      </c>
      <c r="D12" s="24">
        <v>35909</v>
      </c>
      <c r="E12" s="25">
        <v>20</v>
      </c>
      <c r="F12" s="25">
        <v>18</v>
      </c>
      <c r="G12" s="25">
        <v>17</v>
      </c>
    </row>
    <row r="13" spans="1:7" x14ac:dyDescent="0.25">
      <c r="A13" s="18" t="s">
        <v>66</v>
      </c>
      <c r="B13" s="23" t="s">
        <v>46</v>
      </c>
      <c r="C13" s="23" t="s">
        <v>69</v>
      </c>
      <c r="D13" s="24">
        <v>35871</v>
      </c>
      <c r="E13" s="25">
        <v>22</v>
      </c>
      <c r="F13" s="25">
        <v>19</v>
      </c>
      <c r="G13" s="25">
        <v>18</v>
      </c>
    </row>
    <row r="14" spans="1:7" ht="14.5" x14ac:dyDescent="0.35">
      <c r="A14" s="26" t="s">
        <v>74</v>
      </c>
      <c r="B14" s="23"/>
      <c r="C14" s="23"/>
      <c r="D14" s="24"/>
      <c r="E14" s="25">
        <f>SUBTOTAL(1,E12:E13)</f>
        <v>21</v>
      </c>
      <c r="F14" s="25">
        <f>SUBTOTAL(1,F12:F13)</f>
        <v>18.5</v>
      </c>
      <c r="G14" s="25">
        <f>SUBTOTAL(1,G12:G13)</f>
        <v>17.5</v>
      </c>
    </row>
    <row r="15" spans="1:7" x14ac:dyDescent="0.25">
      <c r="A15" s="18" t="s">
        <v>48</v>
      </c>
      <c r="B15" s="23" t="s">
        <v>49</v>
      </c>
      <c r="C15" s="23" t="s">
        <v>50</v>
      </c>
      <c r="D15" s="24">
        <v>35906</v>
      </c>
      <c r="E15" s="25">
        <v>14</v>
      </c>
      <c r="F15" s="25">
        <v>13</v>
      </c>
      <c r="G15" s="25">
        <v>13</v>
      </c>
    </row>
    <row r="16" spans="1:7" x14ac:dyDescent="0.25">
      <c r="A16" s="18" t="s">
        <v>48</v>
      </c>
      <c r="B16" s="23" t="s">
        <v>51</v>
      </c>
      <c r="C16" s="23" t="s">
        <v>52</v>
      </c>
      <c r="D16" s="24">
        <v>35856</v>
      </c>
      <c r="E16" s="25">
        <v>14</v>
      </c>
      <c r="F16" s="25">
        <v>15</v>
      </c>
      <c r="G16" s="25">
        <v>13</v>
      </c>
    </row>
    <row r="17" spans="1:7" x14ac:dyDescent="0.25">
      <c r="A17" s="18" t="s">
        <v>48</v>
      </c>
      <c r="B17" s="23" t="s">
        <v>53</v>
      </c>
      <c r="C17" s="23" t="s">
        <v>54</v>
      </c>
      <c r="D17" s="24">
        <v>35890</v>
      </c>
      <c r="E17" s="25">
        <v>15</v>
      </c>
      <c r="F17" s="25">
        <v>16</v>
      </c>
      <c r="G17" s="25">
        <v>15</v>
      </c>
    </row>
    <row r="18" spans="1:7" x14ac:dyDescent="0.25">
      <c r="A18" s="18" t="s">
        <v>48</v>
      </c>
      <c r="B18" s="23" t="s">
        <v>55</v>
      </c>
      <c r="C18" s="23" t="s">
        <v>56</v>
      </c>
      <c r="D18" s="24">
        <v>35779</v>
      </c>
      <c r="E18" s="25">
        <v>17</v>
      </c>
      <c r="F18" s="25">
        <v>16</v>
      </c>
      <c r="G18" s="25">
        <v>15</v>
      </c>
    </row>
    <row r="19" spans="1:7" x14ac:dyDescent="0.25">
      <c r="A19" s="18" t="s">
        <v>48</v>
      </c>
      <c r="B19" s="23" t="s">
        <v>57</v>
      </c>
      <c r="C19" s="23" t="s">
        <v>58</v>
      </c>
      <c r="D19" s="24">
        <v>35979</v>
      </c>
      <c r="E19" s="25">
        <v>19</v>
      </c>
      <c r="F19" s="25">
        <v>16</v>
      </c>
      <c r="G19" s="25">
        <v>14</v>
      </c>
    </row>
    <row r="20" spans="1:7" x14ac:dyDescent="0.25">
      <c r="A20" s="27" t="s">
        <v>48</v>
      </c>
      <c r="B20" s="28" t="s">
        <v>46</v>
      </c>
      <c r="C20" s="28" t="s">
        <v>47</v>
      </c>
      <c r="D20" s="29">
        <v>35897</v>
      </c>
      <c r="E20" s="30">
        <v>20</v>
      </c>
      <c r="F20" s="30">
        <v>17</v>
      </c>
      <c r="G20" s="30">
        <v>15</v>
      </c>
    </row>
    <row r="21" spans="1:7" ht="14.5" x14ac:dyDescent="0.35">
      <c r="A21" s="31" t="s">
        <v>75</v>
      </c>
      <c r="D21" s="32"/>
      <c r="E21" s="33">
        <f>SUBTOTAL(1,E15:E20)</f>
        <v>16.5</v>
      </c>
      <c r="F21" s="33">
        <f>SUBTOTAL(1,F15:F20)</f>
        <v>15.5</v>
      </c>
      <c r="G21" s="33">
        <f>SUBTOTAL(1,G15:G20)</f>
        <v>14.166666666666666</v>
      </c>
    </row>
    <row r="22" spans="1:7" ht="14.5" x14ac:dyDescent="0.35">
      <c r="A22" s="31" t="s">
        <v>76</v>
      </c>
      <c r="D22" s="32"/>
      <c r="E22" s="33">
        <f>SUBTOTAL(1,E2:E20)</f>
        <v>16.6875</v>
      </c>
      <c r="F22" s="33">
        <f>SUBTOTAL(1,F2:F20)</f>
        <v>15.8125</v>
      </c>
      <c r="G22" s="33">
        <f>SUBTOTAL(1,G2:G20)</f>
        <v>14.375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workbookViewId="0">
      <selection activeCell="F12" sqref="F12"/>
    </sheetView>
  </sheetViews>
  <sheetFormatPr baseColWidth="10" defaultRowHeight="12.5" x14ac:dyDescent="0.25"/>
  <cols>
    <col min="12" max="12" width="24.90625" hidden="1" customWidth="1"/>
    <col min="13" max="13" width="0" hidden="1" customWidth="1"/>
  </cols>
  <sheetData>
    <row r="1" spans="1:13" ht="13" x14ac:dyDescent="0.3">
      <c r="A1" s="34"/>
      <c r="B1" s="35"/>
      <c r="C1" s="35"/>
      <c r="D1" s="35"/>
      <c r="E1" s="35"/>
      <c r="F1" s="35"/>
      <c r="G1" s="36"/>
      <c r="H1" s="36"/>
      <c r="I1" s="36"/>
      <c r="J1" s="36"/>
      <c r="K1" s="37"/>
      <c r="L1" s="38" t="s">
        <v>77</v>
      </c>
      <c r="M1" s="39">
        <v>0.05</v>
      </c>
    </row>
    <row r="2" spans="1:13" ht="13" x14ac:dyDescent="0.3">
      <c r="A2" s="40" t="s">
        <v>78</v>
      </c>
      <c r="B2" s="35"/>
      <c r="C2" s="35"/>
      <c r="D2" s="41" t="s">
        <v>79</v>
      </c>
      <c r="E2" s="41" t="s">
        <v>80</v>
      </c>
      <c r="F2" s="36"/>
      <c r="G2" s="36"/>
      <c r="H2" s="36"/>
      <c r="I2" s="36"/>
      <c r="J2" s="37"/>
      <c r="K2" s="37"/>
      <c r="L2" s="38" t="s">
        <v>81</v>
      </c>
      <c r="M2" s="39">
        <v>0.1</v>
      </c>
    </row>
    <row r="3" spans="1:13" ht="13" x14ac:dyDescent="0.3">
      <c r="A3" s="40" t="s">
        <v>82</v>
      </c>
      <c r="B3" s="35"/>
      <c r="C3" s="35"/>
      <c r="D3" s="42"/>
      <c r="E3" s="43" t="s">
        <v>83</v>
      </c>
      <c r="F3" s="36"/>
      <c r="G3" s="36"/>
      <c r="H3" s="36"/>
      <c r="I3" s="36"/>
      <c r="J3" s="37"/>
      <c r="K3" s="37"/>
      <c r="L3" s="38" t="s">
        <v>84</v>
      </c>
      <c r="M3" s="39">
        <v>0.15</v>
      </c>
    </row>
    <row r="4" spans="1:13" ht="13" x14ac:dyDescent="0.3">
      <c r="A4" s="40" t="s">
        <v>85</v>
      </c>
      <c r="B4" s="35"/>
      <c r="C4" s="44"/>
      <c r="D4" s="37"/>
      <c r="E4" s="37"/>
      <c r="F4" s="40"/>
      <c r="G4" s="36"/>
      <c r="H4" s="36"/>
      <c r="I4" s="36"/>
      <c r="J4" s="36"/>
      <c r="K4" s="37"/>
      <c r="L4" s="38" t="s">
        <v>86</v>
      </c>
      <c r="M4" s="39">
        <v>0.2</v>
      </c>
    </row>
    <row r="5" spans="1:13" ht="13" x14ac:dyDescent="0.3">
      <c r="A5" s="35"/>
      <c r="B5" s="35"/>
      <c r="C5" s="35"/>
      <c r="D5" s="35"/>
      <c r="E5" s="35"/>
      <c r="F5" s="35"/>
      <c r="G5" s="36"/>
      <c r="H5" s="36"/>
      <c r="I5" s="36"/>
      <c r="J5" s="36"/>
      <c r="K5" s="37"/>
      <c r="L5" s="38" t="s">
        <v>87</v>
      </c>
      <c r="M5" s="37"/>
    </row>
    <row r="6" spans="1:13" ht="13" x14ac:dyDescent="0.3">
      <c r="A6" s="45" t="s">
        <v>88</v>
      </c>
      <c r="B6" s="46" t="s">
        <v>89</v>
      </c>
      <c r="C6" s="47" t="s">
        <v>90</v>
      </c>
      <c r="D6" s="47" t="s">
        <v>91</v>
      </c>
      <c r="E6" s="47" t="s">
        <v>92</v>
      </c>
      <c r="F6" s="47" t="s">
        <v>93</v>
      </c>
      <c r="G6" s="36"/>
      <c r="H6" s="36"/>
      <c r="I6" s="36"/>
      <c r="J6" s="36"/>
      <c r="K6" s="37"/>
      <c r="L6" s="38" t="s">
        <v>94</v>
      </c>
      <c r="M6" s="37"/>
    </row>
    <row r="7" spans="1:13" ht="13" x14ac:dyDescent="0.3">
      <c r="A7" s="48"/>
      <c r="B7" s="43"/>
      <c r="C7" s="49"/>
      <c r="D7" s="49"/>
      <c r="E7" s="50"/>
      <c r="F7" s="51" t="s">
        <v>95</v>
      </c>
      <c r="G7" s="36"/>
      <c r="H7" s="52"/>
      <c r="I7" s="36"/>
      <c r="J7" s="36"/>
      <c r="K7" s="37"/>
      <c r="L7" s="38" t="s">
        <v>96</v>
      </c>
      <c r="M7" s="37"/>
    </row>
    <row r="8" spans="1:13" ht="13" x14ac:dyDescent="0.3">
      <c r="A8" s="48"/>
      <c r="B8" s="43"/>
      <c r="C8" s="49"/>
      <c r="D8" s="49"/>
      <c r="E8" s="50"/>
      <c r="F8" s="51" t="s">
        <v>95</v>
      </c>
      <c r="G8" s="36"/>
      <c r="H8" s="36"/>
      <c r="I8" s="36"/>
      <c r="J8" s="36"/>
      <c r="K8" s="37"/>
      <c r="L8" s="38" t="s">
        <v>97</v>
      </c>
      <c r="M8" s="37"/>
    </row>
    <row r="9" spans="1:13" ht="13" x14ac:dyDescent="0.3">
      <c r="A9" s="48"/>
      <c r="B9" s="43"/>
      <c r="C9" s="49"/>
      <c r="D9" s="49"/>
      <c r="E9" s="50"/>
      <c r="F9" s="51" t="s">
        <v>95</v>
      </c>
      <c r="G9" s="36"/>
      <c r="H9" s="36"/>
      <c r="I9" s="36"/>
      <c r="J9" s="36"/>
      <c r="K9" s="37"/>
      <c r="L9" s="38" t="s">
        <v>98</v>
      </c>
      <c r="M9" s="37"/>
    </row>
    <row r="10" spans="1:13" ht="13" x14ac:dyDescent="0.3">
      <c r="A10" s="48"/>
      <c r="B10" s="43"/>
      <c r="C10" s="49"/>
      <c r="D10" s="49"/>
      <c r="E10" s="50"/>
      <c r="F10" s="51" t="s">
        <v>95</v>
      </c>
      <c r="G10" s="36"/>
      <c r="H10" s="36"/>
      <c r="I10" s="36"/>
      <c r="J10" s="36"/>
      <c r="K10" s="37"/>
      <c r="L10" s="38" t="s">
        <v>99</v>
      </c>
      <c r="M10" s="37"/>
    </row>
    <row r="11" spans="1:13" ht="13" x14ac:dyDescent="0.3">
      <c r="A11" s="48"/>
      <c r="B11" s="43"/>
      <c r="C11" s="49"/>
      <c r="D11" s="49"/>
      <c r="E11" s="50"/>
      <c r="F11" s="51" t="s">
        <v>95</v>
      </c>
      <c r="G11" s="36"/>
      <c r="H11" s="36"/>
      <c r="I11" s="36"/>
      <c r="J11" s="36"/>
      <c r="K11" s="37"/>
      <c r="L11" s="38" t="s">
        <v>100</v>
      </c>
      <c r="M11" s="37"/>
    </row>
    <row r="12" spans="1:13" ht="13" x14ac:dyDescent="0.3">
      <c r="A12" s="48"/>
      <c r="B12" s="43"/>
      <c r="C12" s="49"/>
      <c r="D12" s="49"/>
      <c r="E12" s="50"/>
      <c r="F12" s="51" t="s">
        <v>95</v>
      </c>
      <c r="G12" s="36"/>
      <c r="H12" s="36"/>
      <c r="I12" s="36"/>
      <c r="J12" s="36"/>
      <c r="K12" s="37"/>
      <c r="L12" s="38" t="s">
        <v>101</v>
      </c>
      <c r="M12" s="37"/>
    </row>
    <row r="13" spans="1:13" ht="13" x14ac:dyDescent="0.3">
      <c r="A13" s="35" t="e">
        <v>#REF!</v>
      </c>
      <c r="B13" s="53"/>
      <c r="C13" s="54" t="s">
        <v>95</v>
      </c>
      <c r="D13" s="54" t="str">
        <f t="shared" ref="D13" si="0">IF(C13&lt;&gt;"",B13*C13,"")</f>
        <v/>
      </c>
      <c r="E13" s="55"/>
      <c r="F13" s="53" t="s">
        <v>95</v>
      </c>
      <c r="G13" s="36"/>
      <c r="H13" s="36"/>
      <c r="I13" s="36"/>
      <c r="J13" s="36"/>
      <c r="K13" s="37"/>
      <c r="L13" s="38" t="s">
        <v>102</v>
      </c>
      <c r="M13" s="37"/>
    </row>
    <row r="14" spans="1:13" ht="13" x14ac:dyDescent="0.3">
      <c r="A14" s="35"/>
      <c r="B14" s="53"/>
      <c r="C14" s="56"/>
      <c r="D14" s="56"/>
      <c r="E14" s="57"/>
      <c r="F14" s="57"/>
      <c r="G14" s="36"/>
      <c r="H14" s="36"/>
      <c r="I14" s="36"/>
      <c r="J14" s="36"/>
      <c r="K14" s="37"/>
      <c r="L14" s="38" t="s">
        <v>103</v>
      </c>
      <c r="M14" s="37"/>
    </row>
    <row r="15" spans="1:13" ht="13" x14ac:dyDescent="0.3">
      <c r="A15" s="35"/>
      <c r="B15" s="53"/>
      <c r="C15" s="56"/>
      <c r="D15" s="56"/>
      <c r="E15" s="57"/>
      <c r="F15" s="57"/>
      <c r="G15" s="36"/>
      <c r="H15" s="36"/>
      <c r="I15" s="36"/>
      <c r="J15" s="36"/>
      <c r="K15" s="37"/>
      <c r="L15" s="37"/>
      <c r="M15" s="37"/>
    </row>
    <row r="16" spans="1:13" ht="13" x14ac:dyDescent="0.3">
      <c r="A16" s="35"/>
      <c r="B16" s="53"/>
      <c r="C16" s="56"/>
      <c r="D16" s="56"/>
      <c r="E16" s="57"/>
      <c r="F16" s="57"/>
      <c r="G16" s="36"/>
      <c r="H16" s="36"/>
      <c r="I16" s="36"/>
      <c r="J16" s="36"/>
      <c r="K16" s="37"/>
      <c r="L16" s="37"/>
      <c r="M16" s="37"/>
    </row>
    <row r="17" spans="1:13" ht="13" x14ac:dyDescent="0.3">
      <c r="A17" s="35"/>
      <c r="B17" s="53"/>
      <c r="C17" s="56"/>
      <c r="D17" s="56"/>
      <c r="E17" s="57"/>
      <c r="F17" s="57"/>
      <c r="G17" s="36"/>
      <c r="H17" s="36"/>
      <c r="I17" s="36"/>
      <c r="J17" s="36"/>
      <c r="K17" s="37"/>
      <c r="L17" s="37"/>
      <c r="M17" s="37"/>
    </row>
    <row r="18" spans="1:13" ht="13" x14ac:dyDescent="0.3">
      <c r="A18" s="35"/>
      <c r="B18" s="53"/>
      <c r="C18" s="56"/>
      <c r="D18" s="56"/>
      <c r="E18" s="57"/>
      <c r="F18" s="57"/>
      <c r="G18" s="36"/>
      <c r="H18" s="36"/>
      <c r="I18" s="36"/>
      <c r="J18" s="36"/>
      <c r="K18" s="37"/>
      <c r="L18" s="58"/>
      <c r="M18" s="37"/>
    </row>
    <row r="19" spans="1:13" ht="13" x14ac:dyDescent="0.3">
      <c r="A19" s="35"/>
      <c r="B19" s="53"/>
      <c r="C19" s="56"/>
      <c r="D19" s="56"/>
      <c r="E19" s="57"/>
      <c r="F19" s="57"/>
      <c r="G19" s="36"/>
      <c r="H19" s="36"/>
      <c r="I19" s="36"/>
      <c r="J19" s="36"/>
      <c r="K19" s="37"/>
      <c r="L19" s="37"/>
      <c r="M19" s="37"/>
    </row>
    <row r="20" spans="1:13" ht="13" x14ac:dyDescent="0.3">
      <c r="A20" s="35"/>
      <c r="B20" s="53"/>
      <c r="C20" s="56"/>
      <c r="D20" s="56"/>
      <c r="E20" s="57"/>
      <c r="F20" s="57"/>
      <c r="G20" s="36"/>
      <c r="H20" s="36"/>
      <c r="I20" s="36"/>
      <c r="J20" s="36"/>
      <c r="K20" s="37"/>
      <c r="L20" s="37"/>
      <c r="M20" s="37"/>
    </row>
    <row r="21" spans="1:13" ht="13" x14ac:dyDescent="0.3">
      <c r="A21" s="35"/>
      <c r="B21" s="53"/>
      <c r="C21" s="56"/>
      <c r="D21" s="56"/>
      <c r="E21" s="57"/>
      <c r="F21" s="57"/>
      <c r="G21" s="36"/>
      <c r="H21" s="36"/>
      <c r="I21" s="36"/>
      <c r="J21" s="36"/>
      <c r="K21" s="37"/>
      <c r="L21" s="37"/>
      <c r="M21" s="37"/>
    </row>
    <row r="22" spans="1:13" ht="13" x14ac:dyDescent="0.3">
      <c r="A22" s="35"/>
      <c r="B22" s="53"/>
      <c r="C22" s="56"/>
      <c r="D22" s="56"/>
      <c r="E22" s="57"/>
      <c r="F22" s="57"/>
      <c r="G22" s="36"/>
      <c r="H22" s="36"/>
      <c r="I22" s="36"/>
      <c r="J22" s="36"/>
      <c r="K22" s="37"/>
      <c r="L22" s="37"/>
      <c r="M22" s="37"/>
    </row>
    <row r="23" spans="1:13" ht="13" x14ac:dyDescent="0.3">
      <c r="A23" s="35"/>
      <c r="B23" s="53"/>
      <c r="C23" s="56"/>
      <c r="D23" s="56"/>
      <c r="E23" s="57"/>
      <c r="F23" s="57"/>
      <c r="G23" s="36"/>
      <c r="H23" s="36"/>
      <c r="I23" s="36"/>
      <c r="J23" s="36"/>
      <c r="K23" s="37"/>
      <c r="L23" s="37"/>
      <c r="M23" s="37"/>
    </row>
    <row r="24" spans="1:13" ht="13" x14ac:dyDescent="0.3">
      <c r="A24" s="35"/>
      <c r="B24" s="53"/>
      <c r="C24" s="56"/>
      <c r="D24" s="56"/>
      <c r="E24" s="57"/>
      <c r="F24" s="57"/>
      <c r="G24" s="36"/>
      <c r="H24" s="36"/>
      <c r="I24" s="36"/>
      <c r="J24" s="36"/>
      <c r="K24" s="37"/>
      <c r="L24" s="37"/>
      <c r="M24" s="37"/>
    </row>
  </sheetData>
  <conditionalFormatting sqref="A7:A13">
    <cfRule type="expression" dxfId="1" priority="2" stopIfTrue="1">
      <formula>ISERROR($A7)</formula>
    </cfRule>
  </conditionalFormatting>
  <conditionalFormatting sqref="F7:F13">
    <cfRule type="expression" dxfId="0" priority="1" stopIfTrue="1">
      <formula>ISERROR($F7)="vrai"</formula>
    </cfRule>
  </conditionalFormatting>
  <dataValidations count="2">
    <dataValidation type="list" allowBlank="1" showInputMessage="1" showErrorMessage="1" sqref="A7:A12" xr:uid="{8C8A1AC2-8FD5-4727-A924-11EBB31C3F3B}">
      <formula1>$L$1:$L$14</formula1>
    </dataValidation>
    <dataValidation type="list" allowBlank="1" showInputMessage="1" showErrorMessage="1" sqref="F7:F12" xr:uid="{3571425A-C12A-410B-97B0-84F2FF29DE72}">
      <formula1>$M$1:$M$4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Enoncé1</vt:lpstr>
      <vt:lpstr>solution</vt:lpstr>
      <vt:lpstr>Feuil2</vt:lpstr>
      <vt:lpstr>Enoncé2</vt:lpstr>
      <vt:lpstr>Solution2</vt:lpstr>
      <vt:lpstr>Enoncé3</vt:lpstr>
    </vt:vector>
  </TitlesOfParts>
  <Company>Signature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ANTA GUEYE</cp:lastModifiedBy>
  <dcterms:created xsi:type="dcterms:W3CDTF">2003-11-26T07:19:48Z</dcterms:created>
  <dcterms:modified xsi:type="dcterms:W3CDTF">2026-03-06T07:03:12Z</dcterms:modified>
</cp:coreProperties>
</file>