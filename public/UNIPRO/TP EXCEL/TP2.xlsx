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NCHK\Documents\UNIPRO\"/>
    </mc:Choice>
  </mc:AlternateContent>
  <xr:revisionPtr revIDLastSave="0" documentId="13_ncr:1_{103F2AF1-D74D-47C4-BF6D-ECAC458718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o" sheetId="1" r:id="rId1"/>
    <sheet name="Consigne" sheetId="2" r:id="rId2"/>
  </sheets>
  <definedNames>
    <definedName name="_xlnm._FilterDatabase" localSheetId="0" hidden="1">Exo!$D$1:$D$51</definedName>
    <definedName name="Segment_Serveur_Source">#N/A</definedName>
    <definedName name="Segment_Statut_Paiement">#N/A</definedName>
    <definedName name="T_Ventes">Tableau1[]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  <c r="I13" i="1"/>
  <c r="I40" i="1"/>
  <c r="I3" i="1"/>
  <c r="I43" i="1"/>
  <c r="I8" i="1"/>
  <c r="I22" i="1"/>
  <c r="I38" i="1"/>
  <c r="I6" i="1"/>
  <c r="I16" i="1"/>
  <c r="I35" i="1"/>
  <c r="I41" i="1"/>
  <c r="I44" i="1"/>
  <c r="I50" i="1"/>
  <c r="I14" i="1"/>
  <c r="I10" i="1"/>
  <c r="I17" i="1"/>
  <c r="I5" i="1"/>
  <c r="I26" i="1"/>
  <c r="I28" i="1"/>
  <c r="I23" i="1"/>
  <c r="I39" i="1"/>
  <c r="I32" i="1"/>
  <c r="I18" i="1"/>
  <c r="I27" i="1"/>
  <c r="I48" i="1"/>
  <c r="I7" i="1"/>
  <c r="I37" i="1"/>
  <c r="I29" i="1"/>
  <c r="I33" i="1"/>
  <c r="I4" i="1"/>
  <c r="I19" i="1"/>
  <c r="I12" i="1"/>
  <c r="I51" i="1"/>
  <c r="I49" i="1"/>
  <c r="I31" i="1"/>
  <c r="I25" i="1"/>
  <c r="I46" i="1"/>
  <c r="I2" i="1"/>
  <c r="I11" i="1"/>
  <c r="I20" i="1"/>
  <c r="I42" i="1"/>
  <c r="I9" i="1"/>
  <c r="I45" i="1"/>
  <c r="I36" i="1"/>
  <c r="I24" i="1"/>
  <c r="I21" i="1"/>
  <c r="I47" i="1"/>
  <c r="I30" i="1"/>
  <c r="I15" i="1"/>
  <c r="I34" i="1"/>
  <c r="G55" i="1" l="1"/>
  <c r="F55" i="1"/>
  <c r="E55" i="1"/>
  <c r="D55" i="1"/>
</calcChain>
</file>

<file path=xl/sharedStrings.xml><?xml version="1.0" encoding="utf-8"?>
<sst xmlns="http://schemas.openxmlformats.org/spreadsheetml/2006/main" count="282" uniqueCount="100">
  <si>
    <t>ID_Transaction</t>
  </si>
  <si>
    <t>Date_Achat</t>
  </si>
  <si>
    <t>Produit</t>
  </si>
  <si>
    <t>Categorie</t>
  </si>
  <si>
    <t>Prix_Unitaire</t>
  </si>
  <si>
    <t>Quantite</t>
  </si>
  <si>
    <t>Serveur_Source</t>
  </si>
  <si>
    <t>Statut_Paiement</t>
  </si>
  <si>
    <t>TXN-101</t>
  </si>
  <si>
    <t>PC Portable Pro</t>
  </si>
  <si>
    <t>Hardware</t>
  </si>
  <si>
    <t>SRV-DAKAR-01</t>
  </si>
  <si>
    <t>Validé</t>
  </si>
  <si>
    <t>TXN-102</t>
  </si>
  <si>
    <t>Souris Gaming</t>
  </si>
  <si>
    <t>Accessoires</t>
  </si>
  <si>
    <t>SRV-PARIS-02</t>
  </si>
  <si>
    <t>TXN-103</t>
  </si>
  <si>
    <t>Licence Cloud</t>
  </si>
  <si>
    <t>Software</t>
  </si>
  <si>
    <t>Échoué</t>
  </si>
  <si>
    <t>TXN-104</t>
  </si>
  <si>
    <t>Clavier Mécanique</t>
  </si>
  <si>
    <t>SRV-LONDRES-01</t>
  </si>
  <si>
    <t>TXN-105</t>
  </si>
  <si>
    <t>Écran 4K</t>
  </si>
  <si>
    <t>En attente</t>
  </si>
  <si>
    <t>TXN-106</t>
  </si>
  <si>
    <t>TXN-107</t>
  </si>
  <si>
    <t>Antivirus</t>
  </si>
  <si>
    <t>TXN-108</t>
  </si>
  <si>
    <t>Casque Audio</t>
  </si>
  <si>
    <t>TXN-109</t>
  </si>
  <si>
    <t>Serveur Rack</t>
  </si>
  <si>
    <t>TXN-110</t>
  </si>
  <si>
    <t>Clé USB 64GB</t>
  </si>
  <si>
    <t>TXN-111</t>
  </si>
  <si>
    <t>TXN-112</t>
  </si>
  <si>
    <t>TXN-113</t>
  </si>
  <si>
    <t>TXN-114</t>
  </si>
  <si>
    <t>TXN-115</t>
  </si>
  <si>
    <t>TXN-116</t>
  </si>
  <si>
    <t>TXN-117</t>
  </si>
  <si>
    <t>TXN-118</t>
  </si>
  <si>
    <t>TXN-119</t>
  </si>
  <si>
    <t>TXN-120</t>
  </si>
  <si>
    <t>TXN-121</t>
  </si>
  <si>
    <t>TXN-122</t>
  </si>
  <si>
    <t>TXN-123</t>
  </si>
  <si>
    <t>TXN-124</t>
  </si>
  <si>
    <t>TXN-125</t>
  </si>
  <si>
    <t>TXN-126</t>
  </si>
  <si>
    <t>TXN-127</t>
  </si>
  <si>
    <t>TXN-128</t>
  </si>
  <si>
    <t>TXN-129</t>
  </si>
  <si>
    <t>TXN-130</t>
  </si>
  <si>
    <t>TXN-131</t>
  </si>
  <si>
    <t>TXN-132</t>
  </si>
  <si>
    <t>TXN-133</t>
  </si>
  <si>
    <t>TXN-134</t>
  </si>
  <si>
    <t>TXN-135</t>
  </si>
  <si>
    <t>TXN-136</t>
  </si>
  <si>
    <t>TXN-137</t>
  </si>
  <si>
    <t>TXN-138</t>
  </si>
  <si>
    <t>TXN-139</t>
  </si>
  <si>
    <t>TXN-140</t>
  </si>
  <si>
    <t>TXN-141</t>
  </si>
  <si>
    <t>TXN-142</t>
  </si>
  <si>
    <t>TXN-143</t>
  </si>
  <si>
    <t>TXN-144</t>
  </si>
  <si>
    <t>TXN-145</t>
  </si>
  <si>
    <t>TXN-146</t>
  </si>
  <si>
    <t>TXN-147</t>
  </si>
  <si>
    <t>TXN-148</t>
  </si>
  <si>
    <t>TXN-149</t>
  </si>
  <si>
    <t>TXN-150</t>
  </si>
  <si>
    <r>
      <t>Objectif :</t>
    </r>
    <r>
      <rPr>
        <sz val="11"/>
        <color theme="1"/>
        <rFont val="Calibri"/>
        <family val="2"/>
        <scheme val="minor"/>
      </rPr>
      <t xml:space="preserve"> Nettoyer et analyser les ventes du mois de Janvier pour optimiser les serveurs.</t>
    </r>
  </si>
  <si>
    <t>Partie A : Nettoyage et Organisation</t>
  </si>
  <si>
    <r>
      <t>2. Calcul de ligne :</t>
    </r>
    <r>
      <rPr>
        <sz val="11"/>
        <color theme="1"/>
        <rFont val="Calibri"/>
        <family val="2"/>
        <scheme val="minor"/>
      </rPr>
      <t xml:space="preserve"> Créez une nouvelle colonne à droite nommée </t>
    </r>
    <r>
      <rPr>
        <b/>
        <sz val="11"/>
        <color theme="1"/>
        <rFont val="Calibri"/>
        <family val="2"/>
        <scheme val="minor"/>
      </rPr>
      <t>Total_Ligne</t>
    </r>
    <r>
      <rPr>
        <sz val="11"/>
        <color theme="1"/>
        <rFont val="Calibri"/>
        <family val="2"/>
        <scheme val="minor"/>
      </rPr>
      <t>. Calculez le montant pour chaque ligne (Prix_Unitaire x Quantité).</t>
    </r>
  </si>
  <si>
    <r>
      <t>3. Tri :</t>
    </r>
    <r>
      <rPr>
        <sz val="11"/>
        <color theme="1"/>
        <rFont val="Calibri"/>
        <family val="2"/>
        <scheme val="minor"/>
      </rPr>
      <t xml:space="preserve"> Triez le tableau par </t>
    </r>
    <r>
      <rPr>
        <b/>
        <sz val="11"/>
        <color theme="1"/>
        <rFont val="Calibri"/>
        <family val="2"/>
        <scheme val="minor"/>
      </rPr>
      <t>Statut_Paiement</t>
    </r>
    <r>
      <rPr>
        <sz val="11"/>
        <color theme="1"/>
        <rFont val="Calibri"/>
        <family val="2"/>
        <scheme val="minor"/>
      </rPr>
      <t xml:space="preserve"> (Ordre alphabétique), puis par </t>
    </r>
    <r>
      <rPr>
        <b/>
        <sz val="11"/>
        <color theme="1"/>
        <rFont val="Calibri"/>
        <family val="2"/>
        <scheme val="minor"/>
      </rPr>
      <t>Total_Ligne</t>
    </r>
    <r>
      <rPr>
        <sz val="11"/>
        <color theme="1"/>
        <rFont val="Calibri"/>
        <family val="2"/>
        <scheme val="minor"/>
      </rPr>
      <t xml:space="preserve"> (Du plus grand au plus petit).</t>
    </r>
  </si>
  <si>
    <t>Partie B : Analyse avec les fonctions (Somme, Moyenne, Max, Min)</t>
  </si>
  <si>
    <t>Créez un petit tableau récapitulatif à côté ou en dessous de vos données pour répondre aux questions suivantes :</t>
  </si>
  <si>
    <r>
      <t xml:space="preserve">1. Quel est le </t>
    </r>
    <r>
      <rPr>
        <b/>
        <sz val="11"/>
        <color theme="1"/>
        <rFont val="Calibri"/>
        <family val="2"/>
        <scheme val="minor"/>
      </rPr>
      <t>Chiffre d'Affaire total</t>
    </r>
    <r>
      <rPr>
        <sz val="11"/>
        <color theme="1"/>
        <rFont val="Calibri"/>
        <family val="2"/>
        <scheme val="minor"/>
      </rPr>
      <t xml:space="preserve"> (Somme de la colonne Total_Ligne) ?</t>
    </r>
  </si>
  <si>
    <r>
      <t xml:space="preserve">2. Quel est le </t>
    </r>
    <r>
      <rPr>
        <b/>
        <sz val="11"/>
        <color theme="1"/>
        <rFont val="Calibri"/>
        <family val="2"/>
        <scheme val="minor"/>
      </rPr>
      <t>panier moyen</t>
    </r>
    <r>
      <rPr>
        <sz val="11"/>
        <color theme="1"/>
        <rFont val="Calibri"/>
        <family val="2"/>
        <scheme val="minor"/>
      </rPr>
      <t xml:space="preserve"> (Moyenne de la colonne Total_Ligne) ?</t>
    </r>
  </si>
  <si>
    <r>
      <t xml:space="preserve">3. Quelle est la </t>
    </r>
    <r>
      <rPr>
        <b/>
        <sz val="11"/>
        <color theme="1"/>
        <rFont val="Calibri"/>
        <family val="2"/>
        <scheme val="minor"/>
      </rPr>
      <t>plus grosse vente</t>
    </r>
    <r>
      <rPr>
        <sz val="11"/>
        <color theme="1"/>
        <rFont val="Calibri"/>
        <family val="2"/>
        <scheme val="minor"/>
      </rPr>
      <t xml:space="preserve"> réalisée (Max) ?</t>
    </r>
  </si>
  <si>
    <r>
      <t xml:space="preserve">4. Quelle est la </t>
    </r>
    <r>
      <rPr>
        <b/>
        <sz val="11"/>
        <color theme="1"/>
        <rFont val="Calibri"/>
        <family val="2"/>
        <scheme val="minor"/>
      </rPr>
      <t>plus petite vente</t>
    </r>
    <r>
      <rPr>
        <sz val="11"/>
        <color theme="1"/>
        <rFont val="Calibri"/>
        <family val="2"/>
        <scheme val="minor"/>
      </rPr>
      <t xml:space="preserve"> réalisée (Min) ?</t>
    </r>
  </si>
  <si>
    <t>5. Quel est le nombre total d'articles vendus (Somme de la colonne Quantité) ?</t>
  </si>
  <si>
    <t>Partie C : Filtrage et Extraction</t>
  </si>
  <si>
    <r>
      <t xml:space="preserve">1. Appliquez un filtre pour n'afficher que les transactions qui ont </t>
    </r>
    <r>
      <rPr>
        <b/>
        <sz val="11"/>
        <color theme="1"/>
        <rFont val="Calibri"/>
        <family val="2"/>
        <scheme val="minor"/>
      </rPr>
      <t>"Échoué"</t>
    </r>
    <r>
      <rPr>
        <sz val="11"/>
        <color theme="1"/>
        <rFont val="Calibri"/>
        <family val="2"/>
        <scheme val="minor"/>
      </rPr>
      <t>. Combien y en a-t-il ?</t>
    </r>
  </si>
  <si>
    <r>
      <t xml:space="preserve">2. Annulez le filtre précédent. Maintenant, utilisez les filtres pour afficher uniquement les produits de la catégorie </t>
    </r>
    <r>
      <rPr>
        <b/>
        <sz val="11"/>
        <color theme="1"/>
        <rFont val="Calibri"/>
        <family val="2"/>
        <scheme val="minor"/>
      </rPr>
      <t>"Hardware"</t>
    </r>
    <r>
      <rPr>
        <sz val="11"/>
        <color theme="1"/>
        <rFont val="Calibri"/>
        <family val="2"/>
        <scheme val="minor"/>
      </rPr>
      <t xml:space="preserve"> dont le serveur source est </t>
    </r>
    <r>
      <rPr>
        <b/>
        <sz val="11"/>
        <color theme="1"/>
        <rFont val="Calibri"/>
        <family val="2"/>
        <scheme val="minor"/>
      </rPr>
      <t>"SRV-DAKAR-01"</t>
    </r>
    <r>
      <rPr>
        <sz val="11"/>
        <color theme="1"/>
        <rFont val="Calibri"/>
        <family val="2"/>
        <scheme val="minor"/>
      </rPr>
      <t>.</t>
    </r>
  </si>
  <si>
    <r>
      <t>3. Question Expert :</t>
    </r>
    <r>
      <rPr>
        <sz val="11"/>
        <color theme="1"/>
        <rFont val="Calibri"/>
        <family val="2"/>
        <scheme val="minor"/>
      </rPr>
      <t xml:space="preserve"> Utilisez les </t>
    </r>
    <r>
      <rPr>
        <b/>
        <sz val="11"/>
        <color theme="1"/>
        <rFont val="Calibri"/>
        <family val="2"/>
        <scheme val="minor"/>
      </rPr>
      <t>Segments (Slicers)</t>
    </r>
    <r>
      <rPr>
        <sz val="11"/>
        <color theme="1"/>
        <rFont val="Calibri"/>
        <family val="2"/>
        <scheme val="minor"/>
      </rPr>
      <t xml:space="preserve"> pour la colonne "Statut_Paiement" et "Serveur_Source" pour filtrer dynamiquement.</t>
    </r>
  </si>
  <si>
    <t>Exercice</t>
  </si>
  <si>
    <r>
      <t>1. Mise en forme :</t>
    </r>
    <r>
      <rPr>
        <sz val="11"/>
        <color theme="1"/>
        <rFont val="Calibri"/>
        <family val="2"/>
        <scheme val="minor"/>
      </rPr>
      <t xml:space="preserve"> Transformez ce tableau en </t>
    </r>
    <r>
      <rPr>
        <b/>
        <sz val="11"/>
        <color theme="1"/>
        <rFont val="Calibri"/>
        <family val="2"/>
        <scheme val="minor"/>
      </rPr>
      <t>Tableau officiel Excel</t>
    </r>
    <r>
      <rPr>
        <sz val="11"/>
        <color theme="1"/>
        <rFont val="Calibri"/>
        <family val="2"/>
        <scheme val="minor"/>
      </rPr>
      <t>. Nommez-le "T_Ventes".</t>
    </r>
  </si>
  <si>
    <t>Total_Lignes</t>
  </si>
  <si>
    <t>CAT</t>
  </si>
  <si>
    <t>PM</t>
  </si>
  <si>
    <t>MAX</t>
  </si>
  <si>
    <t>MIN</t>
  </si>
  <si>
    <t>NT</t>
  </si>
  <si>
    <t>Nbre echoué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</si>
</sst>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14" fontId="2" fillId="0" borderId="1" xfId="0" applyNumberFormat="1" applyFont="1" applyBorder="1" applyAlignment="1">
      <alignment vertical="center" wrapText="1" readingOrder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3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14" fontId="2" fillId="0" borderId="8" xfId="0" applyNumberFormat="1" applyFont="1" applyBorder="1" applyAlignment="1">
      <alignment vertical="center" wrapText="1" readingOrder="1"/>
    </xf>
    <xf numFmtId="0" fontId="2" fillId="0" borderId="8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</cellXfs>
  <cellStyles count="1">
    <cellStyle name="Normal" xfId="0" builtinId="0"/>
  </cellStyles>
  <dxfs count="1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552450</xdr:colOff>
      <xdr:row>51</xdr:row>
      <xdr:rowOff>12700</xdr:rowOff>
    </xdr:from>
    <xdr:to>
      <xdr:col>2</xdr:col>
      <xdr:colOff>254000</xdr:colOff>
      <xdr:row>64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Serveur_Source">
              <a:extLst>
                <a:ext uri="{FF2B5EF4-FFF2-40B4-BE49-F238E27FC236}">
                  <a16:creationId xmlns:a16="http://schemas.microsoft.com/office/drawing/2014/main" id="{311AEFF5-9483-F889-8207-13778C1EAE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eur_Sourc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" y="2908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635000</xdr:colOff>
      <xdr:row>21</xdr:row>
      <xdr:rowOff>533400</xdr:rowOff>
    </xdr:from>
    <xdr:to>
      <xdr:col>12</xdr:col>
      <xdr:colOff>177800</xdr:colOff>
      <xdr:row>60</xdr:row>
      <xdr:rowOff>127000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Statut_Paiement">
              <a:extLst>
                <a:ext uri="{FF2B5EF4-FFF2-40B4-BE49-F238E27FC236}">
                  <a16:creationId xmlns:a16="http://schemas.microsoft.com/office/drawing/2014/main" id="{94DECE26-83F0-0CFC-0654-991A410BD4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t_Paie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4350" y="2159000"/>
              <a:ext cx="1828800" cy="252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SN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rveur_Source" xr10:uid="{C867BF33-2B62-4A37-B530-A52FECD09DED}" sourceName="Serveur_Source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ut_Paiement" xr10:uid="{E0B15D9F-539E-48BC-A75A-51486B7AF08A}" sourceName="Statut_Paiement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eur_Source" xr10:uid="{BEE41AB8-3B0C-40D8-9526-A16C4AC026AF}" cache="Segment_Serveur_Source" caption="Serveur_Source" rowHeight="241300"/>
  <slicer name="Statut_Paiement" xr10:uid="{43DB07EF-B905-4AB4-880B-6EE48ADC14E6}" cache="Segment_Statut_Paiement" caption="Statut_Paiement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9ABD8-09C9-4B9E-98D4-5A355DFC7248}" name="Tableau1" displayName="Tableau1" ref="A1:I51" totalsRowShown="0" headerRowDxfId="2" dataDxfId="3" headerRowBorderDxfId="13" tableBorderDxfId="14" totalsRowBorderDxfId="12">
  <autoFilter ref="A1:I51" xr:uid="{1F79ABD8-09C9-4B9E-98D4-5A355DFC7248}">
    <filterColumn colId="3">
      <filters>
        <filter val="Hardware"/>
      </filters>
    </filterColumn>
    <filterColumn colId="6">
      <filters>
        <filter val="SRV-DAKAR-01"/>
      </filters>
    </filterColumn>
    <filterColumn colId="7">
      <filters>
        <filter val="Validé"/>
      </filters>
    </filterColumn>
  </autoFilter>
  <sortState xmlns:xlrd2="http://schemas.microsoft.com/office/spreadsheetml/2017/richdata2" ref="A2:I51">
    <sortCondition ref="H2:H51"/>
  </sortState>
  <tableColumns count="9">
    <tableColumn id="1" xr3:uid="{1BBDA289-6AFC-43C6-891D-9AA37F3B5D87}" name="ID_Transaction" dataDxfId="11"/>
    <tableColumn id="2" xr3:uid="{B0C90BFF-69AA-439F-B95A-E478155CD046}" name="Date_Achat" dataDxfId="10"/>
    <tableColumn id="3" xr3:uid="{DFC455A2-5E8A-4537-B3A1-8128CCED07CE}" name="Produit" dataDxfId="9"/>
    <tableColumn id="4" xr3:uid="{CC657828-5D4A-481C-BEA2-6C5251C34820}" name="Categorie" dataDxfId="8"/>
    <tableColumn id="5" xr3:uid="{24CD0F31-0253-40A8-B24B-4448668E7C71}" name="Prix_Unitaire" dataDxfId="7"/>
    <tableColumn id="6" xr3:uid="{714B6117-EF3E-48F9-B16B-8FDEF656F5AC}" name="Quantite" dataDxfId="6"/>
    <tableColumn id="7" xr3:uid="{CDF19C45-189A-4F5F-AB5D-617C95D896F9}" name="Serveur_Source" dataDxfId="5"/>
    <tableColumn id="8" xr3:uid="{ED55E08B-228C-41B2-9FF7-EE39AE1FA648}" name="Statut_Paiement" dataDxfId="4"/>
    <tableColumn id="9" xr3:uid="{A1E0425A-FC15-475D-87B3-1A06E551BB91}" name="Total_Lignes" dataDxfId="1">
      <calculatedColumnFormula>Tableau1[[#This Row],[Prix_Unitaire]]*Tableau1[[#This Row],[Quantite]]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204767-0921-45D6-904B-44A880EF9A80}" name="Tableau2" displayName="Tableau2" ref="D54:I55" totalsRowShown="0">
  <autoFilter ref="D54:I55" xr:uid="{AE204767-0921-45D6-904B-44A880EF9A80}"/>
  <tableColumns count="6">
    <tableColumn id="1" xr3:uid="{CE94B21A-82AB-4EC0-8E53-FBE289321DE4}" name="CAT" dataDxfId="0">
      <calculatedColumnFormula>SUM(Tableau1[Total_Lignes])</calculatedColumnFormula>
    </tableColumn>
    <tableColumn id="2" xr3:uid="{212B6D81-9AC8-45D0-BBA8-96F0AF50D624}" name="PM">
      <calculatedColumnFormula>AVERAGE(Tableau1[Total_Lignes])</calculatedColumnFormula>
    </tableColumn>
    <tableColumn id="3" xr3:uid="{76F87585-40B6-4D37-9769-A49C9BD557EE}" name="MAX">
      <calculatedColumnFormula>MAX(Tableau1[Total_Lignes])</calculatedColumnFormula>
    </tableColumn>
    <tableColumn id="4" xr3:uid="{55D018CC-B111-48AC-89FC-882BE7A1F426}" name="MIN">
      <calculatedColumnFormula>MIN(Tableau1[Total_Lignes])</calculatedColumnFormula>
    </tableColumn>
    <tableColumn id="5" xr3:uid="{38AC0955-AF07-4189-A2F7-9CDB6DED7A6D}" name="NT">
      <calculatedColumnFormula>SUM(Tableau1[Quantite])</calculatedColumnFormula>
    </tableColumn>
    <tableColumn id="6" xr3:uid="{D535E596-6122-4B36-9F3D-BAE2E97B8DA6}" name="Nbre echou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G13" sqref="G13"/>
    </sheetView>
  </sheetViews>
  <sheetFormatPr baseColWidth="10" defaultRowHeight="14.5" x14ac:dyDescent="0.35"/>
  <cols>
    <col min="1" max="1" width="16.90625" customWidth="1"/>
    <col min="2" max="2" width="13.54296875" customWidth="1"/>
    <col min="4" max="4" width="11.7265625" customWidth="1"/>
    <col min="5" max="5" width="14.6328125" customWidth="1"/>
    <col min="7" max="7" width="17.90625" customWidth="1"/>
    <col min="8" max="8" width="18.08984375" customWidth="1"/>
  </cols>
  <sheetData>
    <row r="1" spans="1:9" ht="28.5" thickBot="1" x14ac:dyDescent="0.4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3" t="s">
        <v>93</v>
      </c>
    </row>
    <row r="2" spans="1:9" ht="42.5" hidden="1" thickBot="1" x14ac:dyDescent="0.4">
      <c r="A2" s="10" t="s">
        <v>63</v>
      </c>
      <c r="B2" s="2">
        <v>46041</v>
      </c>
      <c r="C2" s="1" t="s">
        <v>9</v>
      </c>
      <c r="D2" s="1" t="s">
        <v>10</v>
      </c>
      <c r="E2" s="1">
        <v>850000</v>
      </c>
      <c r="F2" s="1">
        <v>1</v>
      </c>
      <c r="G2" s="1" t="s">
        <v>23</v>
      </c>
      <c r="H2" s="11" t="s">
        <v>20</v>
      </c>
      <c r="I2" s="19">
        <f>Tableau1[[#This Row],[Prix_Unitaire]]*Tableau1[[#This Row],[Quantite]]</f>
        <v>850000</v>
      </c>
    </row>
    <row r="3" spans="1:9" ht="28.5" hidden="1" thickBot="1" x14ac:dyDescent="0.4">
      <c r="A3" s="10" t="s">
        <v>17</v>
      </c>
      <c r="B3" s="2">
        <v>46024</v>
      </c>
      <c r="C3" s="1" t="s">
        <v>18</v>
      </c>
      <c r="D3" s="1" t="s">
        <v>19</v>
      </c>
      <c r="E3" s="1">
        <v>120000</v>
      </c>
      <c r="F3" s="1">
        <v>1</v>
      </c>
      <c r="G3" s="1" t="s">
        <v>11</v>
      </c>
      <c r="H3" s="11" t="s">
        <v>20</v>
      </c>
      <c r="I3" s="1">
        <f>Tableau1[[#This Row],[Prix_Unitaire]]*Tableau1[[#This Row],[Quantite]]</f>
        <v>120000</v>
      </c>
    </row>
    <row r="4" spans="1:9" ht="28.5" hidden="1" thickBot="1" x14ac:dyDescent="0.4">
      <c r="A4" s="10" t="s">
        <v>55</v>
      </c>
      <c r="B4" s="2">
        <v>46037</v>
      </c>
      <c r="C4" s="1" t="s">
        <v>35</v>
      </c>
      <c r="D4" s="1" t="s">
        <v>15</v>
      </c>
      <c r="E4" s="1">
        <v>8000</v>
      </c>
      <c r="F4" s="1">
        <v>15</v>
      </c>
      <c r="G4" s="1" t="s">
        <v>11</v>
      </c>
      <c r="H4" s="11" t="s">
        <v>20</v>
      </c>
      <c r="I4" s="1">
        <f>Tableau1[[#This Row],[Prix_Unitaire]]*Tableau1[[#This Row],[Quantite]]</f>
        <v>120000</v>
      </c>
    </row>
    <row r="5" spans="1:9" ht="28.5" hidden="1" thickBot="1" x14ac:dyDescent="0.4">
      <c r="A5" s="10" t="s">
        <v>42</v>
      </c>
      <c r="B5" s="2">
        <v>46030</v>
      </c>
      <c r="C5" s="1" t="s">
        <v>22</v>
      </c>
      <c r="D5" s="1" t="s">
        <v>15</v>
      </c>
      <c r="E5" s="1">
        <v>45000</v>
      </c>
      <c r="F5" s="1">
        <v>2</v>
      </c>
      <c r="G5" s="1" t="s">
        <v>23</v>
      </c>
      <c r="H5" s="11" t="s">
        <v>20</v>
      </c>
      <c r="I5" s="1">
        <f>Tableau1[[#This Row],[Prix_Unitaire]]*Tableau1[[#This Row],[Quantite]]</f>
        <v>90000</v>
      </c>
    </row>
    <row r="6" spans="1:9" ht="28.5" hidden="1" thickBot="1" x14ac:dyDescent="0.4">
      <c r="A6" s="10" t="s">
        <v>30</v>
      </c>
      <c r="B6" s="2">
        <v>46026</v>
      </c>
      <c r="C6" s="1" t="s">
        <v>31</v>
      </c>
      <c r="D6" s="1" t="s">
        <v>15</v>
      </c>
      <c r="E6" s="1">
        <v>35000</v>
      </c>
      <c r="F6" s="1">
        <v>2</v>
      </c>
      <c r="G6" s="1" t="s">
        <v>11</v>
      </c>
      <c r="H6" s="11" t="s">
        <v>20</v>
      </c>
      <c r="I6" s="1">
        <f>Tableau1[[#This Row],[Prix_Unitaire]]*Tableau1[[#This Row],[Quantite]]</f>
        <v>70000</v>
      </c>
    </row>
    <row r="7" spans="1:9" ht="42.5" hidden="1" thickBot="1" x14ac:dyDescent="0.4">
      <c r="A7" s="10" t="s">
        <v>51</v>
      </c>
      <c r="B7" s="2">
        <v>46035</v>
      </c>
      <c r="C7" s="1" t="s">
        <v>9</v>
      </c>
      <c r="D7" s="1" t="s">
        <v>10</v>
      </c>
      <c r="E7" s="1">
        <v>850000</v>
      </c>
      <c r="F7" s="1">
        <v>1</v>
      </c>
      <c r="G7" s="1" t="s">
        <v>23</v>
      </c>
      <c r="H7" s="11" t="s">
        <v>26</v>
      </c>
      <c r="I7" s="1">
        <f>Tableau1[[#This Row],[Prix_Unitaire]]*Tableau1[[#This Row],[Quantite]]</f>
        <v>850000</v>
      </c>
    </row>
    <row r="8" spans="1:9" ht="15" hidden="1" thickBot="1" x14ac:dyDescent="0.4">
      <c r="A8" s="10" t="s">
        <v>24</v>
      </c>
      <c r="B8" s="2">
        <v>46024</v>
      </c>
      <c r="C8" s="1" t="s">
        <v>25</v>
      </c>
      <c r="D8" s="1" t="s">
        <v>10</v>
      </c>
      <c r="E8" s="1">
        <v>210000</v>
      </c>
      <c r="F8" s="1">
        <v>3</v>
      </c>
      <c r="G8" s="1" t="s">
        <v>16</v>
      </c>
      <c r="H8" s="11" t="s">
        <v>26</v>
      </c>
      <c r="I8" s="1">
        <f>Tableau1[[#This Row],[Prix_Unitaire]]*Tableau1[[#This Row],[Quantite]]</f>
        <v>630000</v>
      </c>
    </row>
    <row r="9" spans="1:9" ht="28.5" hidden="1" thickBot="1" x14ac:dyDescent="0.4">
      <c r="A9" s="10" t="s">
        <v>67</v>
      </c>
      <c r="B9" s="2">
        <v>46043</v>
      </c>
      <c r="C9" s="1" t="s">
        <v>22</v>
      </c>
      <c r="D9" s="1" t="s">
        <v>15</v>
      </c>
      <c r="E9" s="1">
        <v>45000</v>
      </c>
      <c r="F9" s="1">
        <v>5</v>
      </c>
      <c r="G9" s="1" t="s">
        <v>11</v>
      </c>
      <c r="H9" s="11" t="s">
        <v>26</v>
      </c>
      <c r="I9" s="1">
        <f>Tableau1[[#This Row],[Prix_Unitaire]]*Tableau1[[#This Row],[Quantite]]</f>
        <v>225000</v>
      </c>
    </row>
    <row r="10" spans="1:9" ht="15" hidden="1" thickBot="1" x14ac:dyDescent="0.4">
      <c r="A10" s="10" t="s">
        <v>40</v>
      </c>
      <c r="B10" s="2">
        <v>46029</v>
      </c>
      <c r="C10" s="1" t="s">
        <v>29</v>
      </c>
      <c r="D10" s="1" t="s">
        <v>19</v>
      </c>
      <c r="E10" s="1">
        <v>15000</v>
      </c>
      <c r="F10" s="1">
        <v>10</v>
      </c>
      <c r="G10" s="1" t="s">
        <v>16</v>
      </c>
      <c r="H10" s="11" t="s">
        <v>26</v>
      </c>
      <c r="I10" s="1">
        <f>Tableau1[[#This Row],[Prix_Unitaire]]*Tableau1[[#This Row],[Quantite]]</f>
        <v>150000</v>
      </c>
    </row>
    <row r="11" spans="1:9" ht="28.5" thickBot="1" x14ac:dyDescent="0.4">
      <c r="A11" s="10" t="s">
        <v>64</v>
      </c>
      <c r="B11" s="2">
        <v>46041</v>
      </c>
      <c r="C11" s="1" t="s">
        <v>33</v>
      </c>
      <c r="D11" s="1" t="s">
        <v>10</v>
      </c>
      <c r="E11" s="1">
        <v>1500000</v>
      </c>
      <c r="F11" s="1">
        <v>2</v>
      </c>
      <c r="G11" s="1" t="s">
        <v>11</v>
      </c>
      <c r="H11" s="11" t="s">
        <v>12</v>
      </c>
      <c r="I11" s="1">
        <f>Tableau1[[#This Row],[Prix_Unitaire]]*Tableau1[[#This Row],[Quantite]]</f>
        <v>3000000</v>
      </c>
    </row>
    <row r="12" spans="1:9" ht="42.5" hidden="1" thickBot="1" x14ac:dyDescent="0.4">
      <c r="A12" s="10" t="s">
        <v>57</v>
      </c>
      <c r="B12" s="2">
        <v>46038</v>
      </c>
      <c r="C12" s="1" t="s">
        <v>9</v>
      </c>
      <c r="D12" s="1" t="s">
        <v>10</v>
      </c>
      <c r="E12" s="1">
        <v>850000</v>
      </c>
      <c r="F12" s="1">
        <v>3</v>
      </c>
      <c r="G12" s="1" t="s">
        <v>23</v>
      </c>
      <c r="H12" s="11" t="s">
        <v>12</v>
      </c>
      <c r="I12" s="1">
        <f>Tableau1[[#This Row],[Prix_Unitaire]]*Tableau1[[#This Row],[Quantite]]</f>
        <v>2550000</v>
      </c>
    </row>
    <row r="13" spans="1:9" ht="42.5" thickBot="1" x14ac:dyDescent="0.4">
      <c r="A13" s="10" t="s">
        <v>8</v>
      </c>
      <c r="B13" s="2">
        <v>46023</v>
      </c>
      <c r="C13" s="1" t="s">
        <v>9</v>
      </c>
      <c r="D13" s="1" t="s">
        <v>10</v>
      </c>
      <c r="E13" s="1">
        <v>850000</v>
      </c>
      <c r="F13" s="1">
        <v>2</v>
      </c>
      <c r="G13" s="1" t="s">
        <v>11</v>
      </c>
      <c r="H13" s="11" t="s">
        <v>12</v>
      </c>
      <c r="I13" s="1">
        <f>Tableau1[[#This Row],[Prix_Unitaire]]*Tableau1[[#This Row],[Quantite]]</f>
        <v>1700000</v>
      </c>
    </row>
    <row r="14" spans="1:9" ht="42.5" hidden="1" thickBot="1" x14ac:dyDescent="0.4">
      <c r="A14" s="10" t="s">
        <v>39</v>
      </c>
      <c r="B14" s="2">
        <v>46029</v>
      </c>
      <c r="C14" s="1" t="s">
        <v>9</v>
      </c>
      <c r="D14" s="1" t="s">
        <v>10</v>
      </c>
      <c r="E14" s="1">
        <v>850000</v>
      </c>
      <c r="F14" s="1">
        <v>2</v>
      </c>
      <c r="G14" s="1" t="s">
        <v>23</v>
      </c>
      <c r="H14" s="11" t="s">
        <v>12</v>
      </c>
      <c r="I14" s="1">
        <f>Tableau1[[#This Row],[Prix_Unitaire]]*Tableau1[[#This Row],[Quantite]]</f>
        <v>1700000</v>
      </c>
    </row>
    <row r="15" spans="1:9" ht="28.5" hidden="1" thickBot="1" x14ac:dyDescent="0.4">
      <c r="A15" s="10" t="s">
        <v>74</v>
      </c>
      <c r="B15" s="2">
        <v>46046</v>
      </c>
      <c r="C15" s="1" t="s">
        <v>35</v>
      </c>
      <c r="D15" s="1" t="s">
        <v>15</v>
      </c>
      <c r="E15" s="1">
        <v>8000</v>
      </c>
      <c r="F15" s="1">
        <v>200</v>
      </c>
      <c r="G15" s="1" t="s">
        <v>16</v>
      </c>
      <c r="H15" s="11" t="s">
        <v>12</v>
      </c>
      <c r="I15" s="1">
        <f>Tableau1[[#This Row],[Prix_Unitaire]]*Tableau1[[#This Row],[Quantite]]</f>
        <v>1600000</v>
      </c>
    </row>
    <row r="16" spans="1:9" ht="28.5" hidden="1" thickBot="1" x14ac:dyDescent="0.4">
      <c r="A16" s="10" t="s">
        <v>32</v>
      </c>
      <c r="B16" s="2">
        <v>46026</v>
      </c>
      <c r="C16" s="1" t="s">
        <v>33</v>
      </c>
      <c r="D16" s="1" t="s">
        <v>10</v>
      </c>
      <c r="E16" s="1">
        <v>1500000</v>
      </c>
      <c r="F16" s="1">
        <v>1</v>
      </c>
      <c r="G16" s="1" t="s">
        <v>16</v>
      </c>
      <c r="H16" s="11" t="s">
        <v>12</v>
      </c>
      <c r="I16" s="1">
        <f>Tableau1[[#This Row],[Prix_Unitaire]]*Tableau1[[#This Row],[Quantite]]</f>
        <v>1500000</v>
      </c>
    </row>
    <row r="17" spans="1:9" ht="28.5" thickBot="1" x14ac:dyDescent="0.4">
      <c r="A17" s="10" t="s">
        <v>41</v>
      </c>
      <c r="B17" s="2">
        <v>46030</v>
      </c>
      <c r="C17" s="1" t="s">
        <v>33</v>
      </c>
      <c r="D17" s="1" t="s">
        <v>10</v>
      </c>
      <c r="E17" s="1">
        <v>1500000</v>
      </c>
      <c r="F17" s="1">
        <v>1</v>
      </c>
      <c r="G17" s="1" t="s">
        <v>11</v>
      </c>
      <c r="H17" s="11" t="s">
        <v>12</v>
      </c>
      <c r="I17" s="1">
        <f>Tableau1[[#This Row],[Prix_Unitaire]]*Tableau1[[#This Row],[Quantite]]</f>
        <v>1500000</v>
      </c>
    </row>
    <row r="18" spans="1:9" ht="28.5" hidden="1" thickBot="1" x14ac:dyDescent="0.4">
      <c r="A18" s="10" t="s">
        <v>48</v>
      </c>
      <c r="B18" s="2">
        <v>46033</v>
      </c>
      <c r="C18" s="1" t="s">
        <v>33</v>
      </c>
      <c r="D18" s="1" t="s">
        <v>10</v>
      </c>
      <c r="E18" s="1">
        <v>1500000</v>
      </c>
      <c r="F18" s="1">
        <v>1</v>
      </c>
      <c r="G18" s="1" t="s">
        <v>23</v>
      </c>
      <c r="H18" s="11" t="s">
        <v>12</v>
      </c>
      <c r="I18" s="1">
        <f>Tableau1[[#This Row],[Prix_Unitaire]]*Tableau1[[#This Row],[Quantite]]</f>
        <v>1500000</v>
      </c>
    </row>
    <row r="19" spans="1:9" ht="28.5" hidden="1" thickBot="1" x14ac:dyDescent="0.4">
      <c r="A19" s="10" t="s">
        <v>56</v>
      </c>
      <c r="B19" s="2">
        <v>46037</v>
      </c>
      <c r="C19" s="1" t="s">
        <v>33</v>
      </c>
      <c r="D19" s="1" t="s">
        <v>10</v>
      </c>
      <c r="E19" s="1">
        <v>1500000</v>
      </c>
      <c r="F19" s="1">
        <v>1</v>
      </c>
      <c r="G19" s="1" t="s">
        <v>16</v>
      </c>
      <c r="H19" s="11" t="s">
        <v>12</v>
      </c>
      <c r="I19" s="1">
        <f>Tableau1[[#This Row],[Prix_Unitaire]]*Tableau1[[#This Row],[Quantite]]</f>
        <v>1500000</v>
      </c>
    </row>
    <row r="20" spans="1:9" ht="15" hidden="1" thickBot="1" x14ac:dyDescent="0.4">
      <c r="A20" s="10" t="s">
        <v>65</v>
      </c>
      <c r="B20" s="2">
        <v>46042</v>
      </c>
      <c r="C20" s="1" t="s">
        <v>29</v>
      </c>
      <c r="D20" s="1" t="s">
        <v>19</v>
      </c>
      <c r="E20" s="1">
        <v>15000</v>
      </c>
      <c r="F20" s="1">
        <v>100</v>
      </c>
      <c r="G20" s="1" t="s">
        <v>16</v>
      </c>
      <c r="H20" s="11" t="s">
        <v>12</v>
      </c>
      <c r="I20" s="1">
        <f>Tableau1[[#This Row],[Prix_Unitaire]]*Tableau1[[#This Row],[Quantite]]</f>
        <v>1500000</v>
      </c>
    </row>
    <row r="21" spans="1:9" ht="28.5" hidden="1" thickBot="1" x14ac:dyDescent="0.4">
      <c r="A21" s="10" t="s">
        <v>71</v>
      </c>
      <c r="B21" s="2">
        <v>46045</v>
      </c>
      <c r="C21" s="1" t="s">
        <v>33</v>
      </c>
      <c r="D21" s="1" t="s">
        <v>10</v>
      </c>
      <c r="E21" s="1">
        <v>1500000</v>
      </c>
      <c r="F21" s="1">
        <v>1</v>
      </c>
      <c r="G21" s="1" t="s">
        <v>16</v>
      </c>
      <c r="H21" s="11" t="s">
        <v>12</v>
      </c>
      <c r="I21" s="1">
        <f>Tableau1[[#This Row],[Prix_Unitaire]]*Tableau1[[#This Row],[Quantite]]</f>
        <v>1500000</v>
      </c>
    </row>
    <row r="22" spans="1:9" ht="42.5" thickBot="1" x14ac:dyDescent="0.4">
      <c r="A22" s="10" t="s">
        <v>27</v>
      </c>
      <c r="B22" s="2">
        <v>46025</v>
      </c>
      <c r="C22" s="1" t="s">
        <v>9</v>
      </c>
      <c r="D22" s="1" t="s">
        <v>10</v>
      </c>
      <c r="E22" s="1">
        <v>850000</v>
      </c>
      <c r="F22" s="1">
        <v>1</v>
      </c>
      <c r="G22" s="1" t="s">
        <v>11</v>
      </c>
      <c r="H22" s="11" t="s">
        <v>12</v>
      </c>
      <c r="I22" s="1">
        <f>Tableau1[[#This Row],[Prix_Unitaire]]*Tableau1[[#This Row],[Quantite]]</f>
        <v>850000</v>
      </c>
    </row>
    <row r="23" spans="1:9" ht="42.5" hidden="1" thickBot="1" x14ac:dyDescent="0.4">
      <c r="A23" s="10" t="s">
        <v>45</v>
      </c>
      <c r="B23" s="2">
        <v>46032</v>
      </c>
      <c r="C23" s="1" t="s">
        <v>9</v>
      </c>
      <c r="D23" s="1" t="s">
        <v>10</v>
      </c>
      <c r="E23" s="1">
        <v>850000</v>
      </c>
      <c r="F23" s="1">
        <v>1</v>
      </c>
      <c r="G23" s="1" t="s">
        <v>23</v>
      </c>
      <c r="H23" s="11" t="s">
        <v>12</v>
      </c>
      <c r="I23" s="1">
        <f>Tableau1[[#This Row],[Prix_Unitaire]]*Tableau1[[#This Row],[Quantite]]</f>
        <v>850000</v>
      </c>
    </row>
    <row r="24" spans="1:9" ht="42.5" thickBot="1" x14ac:dyDescent="0.4">
      <c r="A24" s="10" t="s">
        <v>70</v>
      </c>
      <c r="B24" s="2">
        <v>46044</v>
      </c>
      <c r="C24" s="1" t="s">
        <v>9</v>
      </c>
      <c r="D24" s="1" t="s">
        <v>10</v>
      </c>
      <c r="E24" s="1">
        <v>850000</v>
      </c>
      <c r="F24" s="1">
        <v>1</v>
      </c>
      <c r="G24" s="1" t="s">
        <v>11</v>
      </c>
      <c r="H24" s="11" t="s">
        <v>12</v>
      </c>
      <c r="I24" s="1">
        <f>Tableau1[[#This Row],[Prix_Unitaire]]*Tableau1[[#This Row],[Quantite]]</f>
        <v>850000</v>
      </c>
    </row>
    <row r="25" spans="1:9" ht="15" thickBot="1" x14ac:dyDescent="0.4">
      <c r="A25" s="10" t="s">
        <v>61</v>
      </c>
      <c r="B25" s="2">
        <v>46040</v>
      </c>
      <c r="C25" s="1" t="s">
        <v>25</v>
      </c>
      <c r="D25" s="1" t="s">
        <v>10</v>
      </c>
      <c r="E25" s="1">
        <v>210000</v>
      </c>
      <c r="F25" s="1">
        <v>4</v>
      </c>
      <c r="G25" s="1" t="s">
        <v>11</v>
      </c>
      <c r="H25" s="11" t="s">
        <v>12</v>
      </c>
      <c r="I25" s="1">
        <f>Tableau1[[#This Row],[Prix_Unitaire]]*Tableau1[[#This Row],[Quantite]]</f>
        <v>840000</v>
      </c>
    </row>
    <row r="26" spans="1:9" ht="28.5" hidden="1" thickBot="1" x14ac:dyDescent="0.4">
      <c r="A26" s="10" t="s">
        <v>43</v>
      </c>
      <c r="B26" s="2">
        <v>46031</v>
      </c>
      <c r="C26" s="1" t="s">
        <v>35</v>
      </c>
      <c r="D26" s="1" t="s">
        <v>15</v>
      </c>
      <c r="E26" s="1">
        <v>8000</v>
      </c>
      <c r="F26" s="1">
        <v>100</v>
      </c>
      <c r="G26" s="1" t="s">
        <v>16</v>
      </c>
      <c r="H26" s="11" t="s">
        <v>12</v>
      </c>
      <c r="I26" s="1">
        <f>Tableau1[[#This Row],[Prix_Unitaire]]*Tableau1[[#This Row],[Quantite]]</f>
        <v>800000</v>
      </c>
    </row>
    <row r="27" spans="1:9" ht="15" hidden="1" thickBot="1" x14ac:dyDescent="0.4">
      <c r="A27" s="10" t="s">
        <v>49</v>
      </c>
      <c r="B27" s="2">
        <v>46034</v>
      </c>
      <c r="C27" s="1" t="s">
        <v>29</v>
      </c>
      <c r="D27" s="1" t="s">
        <v>19</v>
      </c>
      <c r="E27" s="1">
        <v>15000</v>
      </c>
      <c r="F27" s="1">
        <v>50</v>
      </c>
      <c r="G27" s="1" t="s">
        <v>11</v>
      </c>
      <c r="H27" s="11" t="s">
        <v>12</v>
      </c>
      <c r="I27" s="1">
        <f>Tableau1[[#This Row],[Prix_Unitaire]]*Tableau1[[#This Row],[Quantite]]</f>
        <v>750000</v>
      </c>
    </row>
    <row r="28" spans="1:9" ht="28.5" hidden="1" thickBot="1" x14ac:dyDescent="0.4">
      <c r="A28" s="10" t="s">
        <v>44</v>
      </c>
      <c r="B28" s="2">
        <v>46031</v>
      </c>
      <c r="C28" s="1" t="s">
        <v>18</v>
      </c>
      <c r="D28" s="1" t="s">
        <v>19</v>
      </c>
      <c r="E28" s="1">
        <v>120000</v>
      </c>
      <c r="F28" s="1">
        <v>5</v>
      </c>
      <c r="G28" s="1" t="s">
        <v>11</v>
      </c>
      <c r="H28" s="11" t="s">
        <v>12</v>
      </c>
      <c r="I28" s="1">
        <f>Tableau1[[#This Row],[Prix_Unitaire]]*Tableau1[[#This Row],[Quantite]]</f>
        <v>600000</v>
      </c>
    </row>
    <row r="29" spans="1:9" ht="28.5" hidden="1" thickBot="1" x14ac:dyDescent="0.4">
      <c r="A29" s="10" t="s">
        <v>53</v>
      </c>
      <c r="B29" s="2">
        <v>46036</v>
      </c>
      <c r="C29" s="1" t="s">
        <v>14</v>
      </c>
      <c r="D29" s="1" t="s">
        <v>15</v>
      </c>
      <c r="E29" s="1">
        <v>25000</v>
      </c>
      <c r="F29" s="1">
        <v>20</v>
      </c>
      <c r="G29" s="1" t="s">
        <v>16</v>
      </c>
      <c r="H29" s="11" t="s">
        <v>12</v>
      </c>
      <c r="I29" s="1">
        <f>Tableau1[[#This Row],[Prix_Unitaire]]*Tableau1[[#This Row],[Quantite]]</f>
        <v>500000</v>
      </c>
    </row>
    <row r="30" spans="1:9" ht="28.5" hidden="1" thickBot="1" x14ac:dyDescent="0.4">
      <c r="A30" s="10" t="s">
        <v>73</v>
      </c>
      <c r="B30" s="2">
        <v>46046</v>
      </c>
      <c r="C30" s="1" t="s">
        <v>18</v>
      </c>
      <c r="D30" s="1" t="s">
        <v>19</v>
      </c>
      <c r="E30" s="1">
        <v>120000</v>
      </c>
      <c r="F30" s="1">
        <v>4</v>
      </c>
      <c r="G30" s="1" t="s">
        <v>11</v>
      </c>
      <c r="H30" s="11" t="s">
        <v>12</v>
      </c>
      <c r="I30" s="1">
        <f>Tableau1[[#This Row],[Prix_Unitaire]]*Tableau1[[#This Row],[Quantite]]</f>
        <v>480000</v>
      </c>
    </row>
    <row r="31" spans="1:9" ht="28.5" hidden="1" thickBot="1" x14ac:dyDescent="0.4">
      <c r="A31" s="10" t="s">
        <v>60</v>
      </c>
      <c r="B31" s="2">
        <v>46039</v>
      </c>
      <c r="C31" s="1" t="s">
        <v>22</v>
      </c>
      <c r="D31" s="1" t="s">
        <v>15</v>
      </c>
      <c r="E31" s="1">
        <v>45000</v>
      </c>
      <c r="F31" s="1">
        <v>10</v>
      </c>
      <c r="G31" s="1" t="s">
        <v>23</v>
      </c>
      <c r="H31" s="11" t="s">
        <v>12</v>
      </c>
      <c r="I31" s="1">
        <f>Tableau1[[#This Row],[Prix_Unitaire]]*Tableau1[[#This Row],[Quantite]]</f>
        <v>450000</v>
      </c>
    </row>
    <row r="32" spans="1:9" ht="15" hidden="1" thickBot="1" x14ac:dyDescent="0.4">
      <c r="A32" s="10" t="s">
        <v>47</v>
      </c>
      <c r="B32" s="2">
        <v>46033</v>
      </c>
      <c r="C32" s="1" t="s">
        <v>25</v>
      </c>
      <c r="D32" s="1" t="s">
        <v>10</v>
      </c>
      <c r="E32" s="1">
        <v>210000</v>
      </c>
      <c r="F32" s="1">
        <v>2</v>
      </c>
      <c r="G32" s="1" t="s">
        <v>16</v>
      </c>
      <c r="H32" s="11" t="s">
        <v>12</v>
      </c>
      <c r="I32" s="1">
        <f>Tableau1[[#This Row],[Prix_Unitaire]]*Tableau1[[#This Row],[Quantite]]</f>
        <v>420000</v>
      </c>
    </row>
    <row r="33" spans="1:9" ht="28.5" hidden="1" thickBot="1" x14ac:dyDescent="0.4">
      <c r="A33" s="10" t="s">
        <v>54</v>
      </c>
      <c r="B33" s="2">
        <v>46036</v>
      </c>
      <c r="C33" s="1" t="s">
        <v>25</v>
      </c>
      <c r="D33" s="1" t="s">
        <v>10</v>
      </c>
      <c r="E33" s="1">
        <v>210000</v>
      </c>
      <c r="F33" s="1">
        <v>2</v>
      </c>
      <c r="G33" s="1" t="s">
        <v>23</v>
      </c>
      <c r="H33" s="11" t="s">
        <v>12</v>
      </c>
      <c r="I33" s="1">
        <f>Tableau1[[#This Row],[Prix_Unitaire]]*Tableau1[[#This Row],[Quantite]]</f>
        <v>420000</v>
      </c>
    </row>
    <row r="34" spans="1:9" ht="28.5" hidden="1" thickBot="1" x14ac:dyDescent="0.4">
      <c r="A34" s="10" t="s">
        <v>75</v>
      </c>
      <c r="B34" s="2">
        <v>46047</v>
      </c>
      <c r="C34" s="1" t="s">
        <v>25</v>
      </c>
      <c r="D34" s="1" t="s">
        <v>10</v>
      </c>
      <c r="E34" s="1">
        <v>210000</v>
      </c>
      <c r="F34" s="1">
        <v>2</v>
      </c>
      <c r="G34" s="1" t="s">
        <v>23</v>
      </c>
      <c r="H34" s="11" t="s">
        <v>12</v>
      </c>
      <c r="I34" s="1">
        <f>Tableau1[[#This Row],[Prix_Unitaire]]*Tableau1[[#This Row],[Quantite]]</f>
        <v>420000</v>
      </c>
    </row>
    <row r="35" spans="1:9" ht="28.5" hidden="1" thickBot="1" x14ac:dyDescent="0.4">
      <c r="A35" s="10" t="s">
        <v>34</v>
      </c>
      <c r="B35" s="2">
        <v>46027</v>
      </c>
      <c r="C35" s="1" t="s">
        <v>35</v>
      </c>
      <c r="D35" s="1" t="s">
        <v>15</v>
      </c>
      <c r="E35" s="1">
        <v>8000</v>
      </c>
      <c r="F35" s="1">
        <v>50</v>
      </c>
      <c r="G35" s="1" t="s">
        <v>23</v>
      </c>
      <c r="H35" s="11" t="s">
        <v>12</v>
      </c>
      <c r="I35" s="1">
        <f>Tableau1[[#This Row],[Prix_Unitaire]]*Tableau1[[#This Row],[Quantite]]</f>
        <v>400000</v>
      </c>
    </row>
    <row r="36" spans="1:9" ht="28.5" hidden="1" thickBot="1" x14ac:dyDescent="0.4">
      <c r="A36" s="10" t="s">
        <v>69</v>
      </c>
      <c r="B36" s="2">
        <v>46044</v>
      </c>
      <c r="C36" s="1" t="s">
        <v>14</v>
      </c>
      <c r="D36" s="1" t="s">
        <v>15</v>
      </c>
      <c r="E36" s="1">
        <v>25000</v>
      </c>
      <c r="F36" s="1">
        <v>15</v>
      </c>
      <c r="G36" s="1" t="s">
        <v>23</v>
      </c>
      <c r="H36" s="11" t="s">
        <v>12</v>
      </c>
      <c r="I36" s="1">
        <f>Tableau1[[#This Row],[Prix_Unitaire]]*Tableau1[[#This Row],[Quantite]]</f>
        <v>375000</v>
      </c>
    </row>
    <row r="37" spans="1:9" ht="28.5" hidden="1" thickBot="1" x14ac:dyDescent="0.4">
      <c r="A37" s="10" t="s">
        <v>52</v>
      </c>
      <c r="B37" s="2">
        <v>46035</v>
      </c>
      <c r="C37" s="1" t="s">
        <v>18</v>
      </c>
      <c r="D37" s="1" t="s">
        <v>19</v>
      </c>
      <c r="E37" s="1">
        <v>120000</v>
      </c>
      <c r="F37" s="1">
        <v>3</v>
      </c>
      <c r="G37" s="1" t="s">
        <v>11</v>
      </c>
      <c r="H37" s="11" t="s">
        <v>12</v>
      </c>
      <c r="I37" s="1">
        <f>Tableau1[[#This Row],[Prix_Unitaire]]*Tableau1[[#This Row],[Quantite]]</f>
        <v>360000</v>
      </c>
    </row>
    <row r="38" spans="1:9" ht="28.5" hidden="1" thickBot="1" x14ac:dyDescent="0.4">
      <c r="A38" s="10" t="s">
        <v>28</v>
      </c>
      <c r="B38" s="2">
        <v>46025</v>
      </c>
      <c r="C38" s="1" t="s">
        <v>29</v>
      </c>
      <c r="D38" s="1" t="s">
        <v>19</v>
      </c>
      <c r="E38" s="1">
        <v>15000</v>
      </c>
      <c r="F38" s="1">
        <v>20</v>
      </c>
      <c r="G38" s="1" t="s">
        <v>23</v>
      </c>
      <c r="H38" s="11" t="s">
        <v>12</v>
      </c>
      <c r="I38" s="1">
        <f>Tableau1[[#This Row],[Prix_Unitaire]]*Tableau1[[#This Row],[Quantite]]</f>
        <v>300000</v>
      </c>
    </row>
    <row r="39" spans="1:9" ht="28.5" hidden="1" thickBot="1" x14ac:dyDescent="0.4">
      <c r="A39" s="10" t="s">
        <v>46</v>
      </c>
      <c r="B39" s="2">
        <v>46032</v>
      </c>
      <c r="C39" s="1" t="s">
        <v>14</v>
      </c>
      <c r="D39" s="1" t="s">
        <v>15</v>
      </c>
      <c r="E39" s="1">
        <v>25000</v>
      </c>
      <c r="F39" s="1">
        <v>12</v>
      </c>
      <c r="G39" s="1" t="s">
        <v>11</v>
      </c>
      <c r="H39" s="11" t="s">
        <v>12</v>
      </c>
      <c r="I39" s="1">
        <f>Tableau1[[#This Row],[Prix_Unitaire]]*Tableau1[[#This Row],[Quantite]]</f>
        <v>300000</v>
      </c>
    </row>
    <row r="40" spans="1:9" ht="28.5" hidden="1" thickBot="1" x14ac:dyDescent="0.4">
      <c r="A40" s="10" t="s">
        <v>13</v>
      </c>
      <c r="B40" s="2">
        <v>46023</v>
      </c>
      <c r="C40" s="1" t="s">
        <v>14</v>
      </c>
      <c r="D40" s="1" t="s">
        <v>15</v>
      </c>
      <c r="E40" s="1">
        <v>25000</v>
      </c>
      <c r="F40" s="1">
        <v>10</v>
      </c>
      <c r="G40" s="1" t="s">
        <v>16</v>
      </c>
      <c r="H40" s="11" t="s">
        <v>12</v>
      </c>
      <c r="I40" s="1">
        <f>Tableau1[[#This Row],[Prix_Unitaire]]*Tableau1[[#This Row],[Quantite]]</f>
        <v>250000</v>
      </c>
    </row>
    <row r="41" spans="1:9" ht="28.5" hidden="1" thickBot="1" x14ac:dyDescent="0.4">
      <c r="A41" s="10" t="s">
        <v>36</v>
      </c>
      <c r="B41" s="2">
        <v>46027</v>
      </c>
      <c r="C41" s="1" t="s">
        <v>18</v>
      </c>
      <c r="D41" s="1" t="s">
        <v>19</v>
      </c>
      <c r="E41" s="1">
        <v>120000</v>
      </c>
      <c r="F41" s="1">
        <v>2</v>
      </c>
      <c r="G41" s="1" t="s">
        <v>11</v>
      </c>
      <c r="H41" s="11" t="s">
        <v>12</v>
      </c>
      <c r="I41" s="1">
        <f>Tableau1[[#This Row],[Prix_Unitaire]]*Tableau1[[#This Row],[Quantite]]</f>
        <v>240000</v>
      </c>
    </row>
    <row r="42" spans="1:9" ht="28.5" hidden="1" thickBot="1" x14ac:dyDescent="0.4">
      <c r="A42" s="10" t="s">
        <v>66</v>
      </c>
      <c r="B42" s="2">
        <v>46042</v>
      </c>
      <c r="C42" s="1" t="s">
        <v>18</v>
      </c>
      <c r="D42" s="1" t="s">
        <v>19</v>
      </c>
      <c r="E42" s="1">
        <v>120000</v>
      </c>
      <c r="F42" s="1">
        <v>2</v>
      </c>
      <c r="G42" s="1" t="s">
        <v>23</v>
      </c>
      <c r="H42" s="11" t="s">
        <v>12</v>
      </c>
      <c r="I42" s="1">
        <f>Tableau1[[#This Row],[Prix_Unitaire]]*Tableau1[[#This Row],[Quantite]]</f>
        <v>240000</v>
      </c>
    </row>
    <row r="43" spans="1:9" ht="28.5" hidden="1" thickBot="1" x14ac:dyDescent="0.4">
      <c r="A43" s="10" t="s">
        <v>21</v>
      </c>
      <c r="B43" s="2">
        <v>46024</v>
      </c>
      <c r="C43" s="1" t="s">
        <v>22</v>
      </c>
      <c r="D43" s="1" t="s">
        <v>15</v>
      </c>
      <c r="E43" s="1">
        <v>45000</v>
      </c>
      <c r="F43" s="1">
        <v>5</v>
      </c>
      <c r="G43" s="1" t="s">
        <v>23</v>
      </c>
      <c r="H43" s="11" t="s">
        <v>12</v>
      </c>
      <c r="I43" s="1">
        <f>Tableau1[[#This Row],[Prix_Unitaire]]*Tableau1[[#This Row],[Quantite]]</f>
        <v>225000</v>
      </c>
    </row>
    <row r="44" spans="1:9" ht="15" hidden="1" thickBot="1" x14ac:dyDescent="0.4">
      <c r="A44" s="10" t="s">
        <v>37</v>
      </c>
      <c r="B44" s="2">
        <v>46028</v>
      </c>
      <c r="C44" s="1" t="s">
        <v>25</v>
      </c>
      <c r="D44" s="1" t="s">
        <v>10</v>
      </c>
      <c r="E44" s="1">
        <v>210000</v>
      </c>
      <c r="F44" s="1">
        <v>1</v>
      </c>
      <c r="G44" s="1" t="s">
        <v>16</v>
      </c>
      <c r="H44" s="11" t="s">
        <v>12</v>
      </c>
      <c r="I44" s="1">
        <f>Tableau1[[#This Row],[Prix_Unitaire]]*Tableau1[[#This Row],[Quantite]]</f>
        <v>210000</v>
      </c>
    </row>
    <row r="45" spans="1:9" ht="15" hidden="1" thickBot="1" x14ac:dyDescent="0.4">
      <c r="A45" s="10" t="s">
        <v>68</v>
      </c>
      <c r="B45" s="2">
        <v>46043</v>
      </c>
      <c r="C45" s="1" t="s">
        <v>25</v>
      </c>
      <c r="D45" s="1" t="s">
        <v>10</v>
      </c>
      <c r="E45" s="1">
        <v>210000</v>
      </c>
      <c r="F45" s="1">
        <v>1</v>
      </c>
      <c r="G45" s="1" t="s">
        <v>16</v>
      </c>
      <c r="H45" s="11" t="s">
        <v>12</v>
      </c>
      <c r="I45" s="1">
        <f>Tableau1[[#This Row],[Prix_Unitaire]]*Tableau1[[#This Row],[Quantite]]</f>
        <v>210000</v>
      </c>
    </row>
    <row r="46" spans="1:9" ht="28.5" hidden="1" thickBot="1" x14ac:dyDescent="0.4">
      <c r="A46" s="10" t="s">
        <v>62</v>
      </c>
      <c r="B46" s="2">
        <v>46040</v>
      </c>
      <c r="C46" s="1" t="s">
        <v>14</v>
      </c>
      <c r="D46" s="1" t="s">
        <v>15</v>
      </c>
      <c r="E46" s="1">
        <v>25000</v>
      </c>
      <c r="F46" s="1">
        <v>8</v>
      </c>
      <c r="G46" s="1" t="s">
        <v>16</v>
      </c>
      <c r="H46" s="11" t="s">
        <v>12</v>
      </c>
      <c r="I46" s="1">
        <f>Tableau1[[#This Row],[Prix_Unitaire]]*Tableau1[[#This Row],[Quantite]]</f>
        <v>200000</v>
      </c>
    </row>
    <row r="47" spans="1:9" ht="28.5" hidden="1" thickBot="1" x14ac:dyDescent="0.4">
      <c r="A47" s="10" t="s">
        <v>72</v>
      </c>
      <c r="B47" s="2">
        <v>46045</v>
      </c>
      <c r="C47" s="1" t="s">
        <v>29</v>
      </c>
      <c r="D47" s="1" t="s">
        <v>19</v>
      </c>
      <c r="E47" s="1">
        <v>15000</v>
      </c>
      <c r="F47" s="1">
        <v>12</v>
      </c>
      <c r="G47" s="1" t="s">
        <v>23</v>
      </c>
      <c r="H47" s="11" t="s">
        <v>12</v>
      </c>
      <c r="I47" s="1">
        <f>Tableau1[[#This Row],[Prix_Unitaire]]*Tableau1[[#This Row],[Quantite]]</f>
        <v>180000</v>
      </c>
    </row>
    <row r="48" spans="1:9" ht="28.5" hidden="1" thickBot="1" x14ac:dyDescent="0.4">
      <c r="A48" s="10" t="s">
        <v>50</v>
      </c>
      <c r="B48" s="2">
        <v>46034</v>
      </c>
      <c r="C48" s="1" t="s">
        <v>22</v>
      </c>
      <c r="D48" s="1" t="s">
        <v>15</v>
      </c>
      <c r="E48" s="1">
        <v>45000</v>
      </c>
      <c r="F48" s="1">
        <v>3</v>
      </c>
      <c r="G48" s="1" t="s">
        <v>16</v>
      </c>
      <c r="H48" s="11" t="s">
        <v>12</v>
      </c>
      <c r="I48" s="1">
        <f>Tableau1[[#This Row],[Prix_Unitaire]]*Tableau1[[#This Row],[Quantite]]</f>
        <v>135000</v>
      </c>
    </row>
    <row r="49" spans="1:9" ht="28.5" hidden="1" thickBot="1" x14ac:dyDescent="0.4">
      <c r="A49" s="10" t="s">
        <v>59</v>
      </c>
      <c r="B49" s="2">
        <v>46039</v>
      </c>
      <c r="C49" s="1" t="s">
        <v>18</v>
      </c>
      <c r="D49" s="1" t="s">
        <v>19</v>
      </c>
      <c r="E49" s="1">
        <v>120000</v>
      </c>
      <c r="F49" s="1">
        <v>1</v>
      </c>
      <c r="G49" s="1" t="s">
        <v>16</v>
      </c>
      <c r="H49" s="11" t="s">
        <v>12</v>
      </c>
      <c r="I49" s="1">
        <f>Tableau1[[#This Row],[Prix_Unitaire]]*Tableau1[[#This Row],[Quantite]]</f>
        <v>120000</v>
      </c>
    </row>
    <row r="50" spans="1:9" ht="28.5" hidden="1" thickBot="1" x14ac:dyDescent="0.4">
      <c r="A50" s="10" t="s">
        <v>38</v>
      </c>
      <c r="B50" s="2">
        <v>46028</v>
      </c>
      <c r="C50" s="1" t="s">
        <v>14</v>
      </c>
      <c r="D50" s="1" t="s">
        <v>15</v>
      </c>
      <c r="E50" s="1">
        <v>25000</v>
      </c>
      <c r="F50" s="1">
        <v>4</v>
      </c>
      <c r="G50" s="1" t="s">
        <v>11</v>
      </c>
      <c r="H50" s="11" t="s">
        <v>12</v>
      </c>
      <c r="I50" s="1">
        <f>Tableau1[[#This Row],[Prix_Unitaire]]*Tableau1[[#This Row],[Quantite]]</f>
        <v>100000</v>
      </c>
    </row>
    <row r="51" spans="1:9" hidden="1" x14ac:dyDescent="0.35">
      <c r="A51" s="15" t="s">
        <v>58</v>
      </c>
      <c r="B51" s="16">
        <v>46038</v>
      </c>
      <c r="C51" s="17" t="s">
        <v>29</v>
      </c>
      <c r="D51" s="17" t="s">
        <v>19</v>
      </c>
      <c r="E51" s="17">
        <v>15000</v>
      </c>
      <c r="F51" s="17">
        <v>5</v>
      </c>
      <c r="G51" s="17" t="s">
        <v>11</v>
      </c>
      <c r="H51" s="18" t="s">
        <v>12</v>
      </c>
      <c r="I51" s="17">
        <f>Tableau1[[#This Row],[Prix_Unitaire]]*Tableau1[[#This Row],[Quantite]]</f>
        <v>75000</v>
      </c>
    </row>
    <row r="54" spans="1:9" x14ac:dyDescent="0.35">
      <c r="D54" t="s">
        <v>94</v>
      </c>
      <c r="E54" t="s">
        <v>95</v>
      </c>
      <c r="F54" t="s">
        <v>96</v>
      </c>
      <c r="G54" t="s">
        <v>97</v>
      </c>
      <c r="H54" t="s">
        <v>98</v>
      </c>
      <c r="I54" t="s">
        <v>99</v>
      </c>
    </row>
    <row r="55" spans="1:9" x14ac:dyDescent="0.35">
      <c r="D55">
        <f>SUM(Tableau1[Total_Lignes])</f>
        <v>34805000</v>
      </c>
      <c r="E55">
        <f>AVERAGE(Tableau1[Total_Lignes])</f>
        <v>696100</v>
      </c>
      <c r="F55">
        <f>MAX(Tableau1[Total_Lignes])</f>
        <v>3000000</v>
      </c>
      <c r="G55">
        <f>MIN(Tableau1[Total_Lignes])</f>
        <v>70000</v>
      </c>
      <c r="H55">
        <f>SUM(Tableau1[Quantite])</f>
        <v>710</v>
      </c>
      <c r="I55">
        <v>5</v>
      </c>
    </row>
  </sheetData>
  <pageMargins left="0.7" right="0.7" top="0.75" bottom="0.75" header="0.3" footer="0.3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topLeftCell="A19" zoomScale="68" workbookViewId="0">
      <selection activeCell="A31" sqref="A31:N31"/>
    </sheetView>
  </sheetViews>
  <sheetFormatPr baseColWidth="10" defaultRowHeight="14.5" x14ac:dyDescent="0.35"/>
  <sheetData>
    <row r="1" spans="1:11" ht="17.5" customHeight="1" x14ac:dyDescent="0.35">
      <c r="A1" s="7" t="s">
        <v>91</v>
      </c>
      <c r="B1" s="7"/>
      <c r="C1" s="7"/>
      <c r="D1" s="7"/>
      <c r="E1" s="7"/>
    </row>
    <row r="3" spans="1:11" x14ac:dyDescent="0.35">
      <c r="A3" s="8" t="s">
        <v>76</v>
      </c>
      <c r="B3" s="8"/>
      <c r="C3" s="8"/>
      <c r="D3" s="8"/>
      <c r="E3" s="8"/>
      <c r="F3" s="8"/>
      <c r="G3" s="8"/>
    </row>
    <row r="5" spans="1:11" ht="15.5" customHeight="1" x14ac:dyDescent="0.35">
      <c r="A5" s="6" t="s">
        <v>77</v>
      </c>
      <c r="B5" s="6"/>
      <c r="C5" s="6"/>
      <c r="D5" s="6"/>
    </row>
    <row r="6" spans="1:11" x14ac:dyDescent="0.35">
      <c r="A6" s="3"/>
    </row>
    <row r="7" spans="1:11" x14ac:dyDescent="0.35">
      <c r="A7" s="5" t="s">
        <v>92</v>
      </c>
      <c r="B7" s="5"/>
      <c r="C7" s="5"/>
      <c r="D7" s="5"/>
      <c r="E7" s="5"/>
      <c r="F7" s="5"/>
      <c r="G7" s="5"/>
      <c r="H7" s="5"/>
      <c r="I7" s="5"/>
    </row>
    <row r="8" spans="1:11" x14ac:dyDescent="0.35">
      <c r="A8" s="3"/>
    </row>
    <row r="9" spans="1:11" x14ac:dyDescent="0.35">
      <c r="A9" s="5" t="s">
        <v>78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5">
      <c r="A10" s="3"/>
    </row>
    <row r="11" spans="1:11" x14ac:dyDescent="0.35">
      <c r="A11" s="5" t="s">
        <v>79</v>
      </c>
      <c r="B11" s="5"/>
      <c r="C11" s="5"/>
      <c r="D11" s="5"/>
      <c r="E11" s="5"/>
      <c r="F11" s="5"/>
      <c r="G11" s="5"/>
      <c r="H11" s="5"/>
      <c r="I11" s="5"/>
    </row>
    <row r="13" spans="1:11" ht="15.5" customHeight="1" x14ac:dyDescent="0.35">
      <c r="A13" s="6" t="s">
        <v>80</v>
      </c>
      <c r="B13" s="6"/>
      <c r="C13" s="6"/>
      <c r="D13" s="6"/>
      <c r="E13" s="6"/>
      <c r="F13" s="6"/>
    </row>
    <row r="15" spans="1:11" x14ac:dyDescent="0.35">
      <c r="A15" s="9" t="s">
        <v>81</v>
      </c>
      <c r="B15" s="9"/>
      <c r="C15" s="9"/>
      <c r="D15" s="9"/>
      <c r="E15" s="9"/>
      <c r="F15" s="9"/>
      <c r="G15" s="9"/>
      <c r="H15" s="9"/>
      <c r="I15" s="9"/>
    </row>
    <row r="16" spans="1:11" x14ac:dyDescent="0.35">
      <c r="A16" s="3"/>
    </row>
    <row r="17" spans="1:14" x14ac:dyDescent="0.35">
      <c r="A17" s="4" t="s">
        <v>82</v>
      </c>
      <c r="B17" s="4"/>
      <c r="C17" s="4"/>
      <c r="D17" s="4"/>
      <c r="E17" s="4"/>
      <c r="F17" s="4"/>
    </row>
    <row r="18" spans="1:14" x14ac:dyDescent="0.35">
      <c r="A18" s="3"/>
    </row>
    <row r="19" spans="1:14" x14ac:dyDescent="0.35">
      <c r="A19" s="4" t="s">
        <v>83</v>
      </c>
      <c r="B19" s="4"/>
      <c r="C19" s="4"/>
      <c r="D19" s="4"/>
      <c r="E19" s="4"/>
      <c r="F19" s="4"/>
    </row>
    <row r="20" spans="1:14" x14ac:dyDescent="0.35">
      <c r="A20" s="3"/>
    </row>
    <row r="21" spans="1:14" x14ac:dyDescent="0.35">
      <c r="A21" s="4" t="s">
        <v>84</v>
      </c>
      <c r="B21" s="4"/>
      <c r="C21" s="4"/>
      <c r="D21" s="4"/>
    </row>
    <row r="22" spans="1:14" x14ac:dyDescent="0.35">
      <c r="A22" s="3"/>
    </row>
    <row r="23" spans="1:14" x14ac:dyDescent="0.35">
      <c r="A23" s="4" t="s">
        <v>85</v>
      </c>
      <c r="B23" s="4"/>
      <c r="C23" s="4"/>
      <c r="D23" s="4"/>
    </row>
    <row r="24" spans="1:14" x14ac:dyDescent="0.35">
      <c r="A24" s="3"/>
    </row>
    <row r="25" spans="1:14" x14ac:dyDescent="0.35">
      <c r="A25" s="4" t="s">
        <v>86</v>
      </c>
      <c r="B25" s="4"/>
      <c r="C25" s="4"/>
      <c r="D25" s="4"/>
      <c r="E25" s="4"/>
      <c r="F25" s="4"/>
      <c r="G25" s="4"/>
    </row>
    <row r="27" spans="1:14" ht="15.5" customHeight="1" x14ac:dyDescent="0.35">
      <c r="A27" s="6" t="s">
        <v>87</v>
      </c>
      <c r="B27" s="6"/>
      <c r="C27" s="6"/>
    </row>
    <row r="28" spans="1:14" x14ac:dyDescent="0.35">
      <c r="A28" s="3"/>
    </row>
    <row r="29" spans="1:14" x14ac:dyDescent="0.35">
      <c r="A29" s="4" t="s">
        <v>88</v>
      </c>
      <c r="B29" s="4"/>
      <c r="C29" s="4"/>
      <c r="D29" s="4"/>
      <c r="E29" s="4"/>
      <c r="F29" s="4"/>
      <c r="G29" s="4"/>
      <c r="H29" s="4"/>
    </row>
    <row r="30" spans="1:14" x14ac:dyDescent="0.35">
      <c r="A30" s="3"/>
    </row>
    <row r="31" spans="1:14" x14ac:dyDescent="0.35">
      <c r="A31" s="4" t="s">
        <v>89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5">
      <c r="A32" s="3"/>
    </row>
    <row r="33" spans="1:11" x14ac:dyDescent="0.35">
      <c r="A33" s="5" t="s">
        <v>90</v>
      </c>
      <c r="B33" s="5"/>
      <c r="C33" s="5"/>
      <c r="D33" s="5"/>
      <c r="E33" s="5"/>
      <c r="F33" s="5"/>
      <c r="G33" s="5"/>
      <c r="H33" s="5"/>
      <c r="I33" s="5"/>
      <c r="J33" s="5"/>
      <c r="K33" s="5"/>
    </row>
  </sheetData>
  <mergeCells count="17">
    <mergeCell ref="A11:I11"/>
    <mergeCell ref="A13:F13"/>
    <mergeCell ref="A15:I15"/>
    <mergeCell ref="A17:F17"/>
    <mergeCell ref="A1:E1"/>
    <mergeCell ref="A3:G3"/>
    <mergeCell ref="A5:D5"/>
    <mergeCell ref="A7:I7"/>
    <mergeCell ref="A9:K9"/>
    <mergeCell ref="A31:N31"/>
    <mergeCell ref="A33:K33"/>
    <mergeCell ref="A19:F19"/>
    <mergeCell ref="A21:D21"/>
    <mergeCell ref="A23:D23"/>
    <mergeCell ref="A25:G25"/>
    <mergeCell ref="A27:C27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Exo</vt:lpstr>
      <vt:lpstr>Consigne</vt:lpstr>
      <vt:lpstr>T_Ventes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ELIMANE</dc:creator>
  <cp:lastModifiedBy>ANTA GUEYE</cp:lastModifiedBy>
  <dcterms:created xsi:type="dcterms:W3CDTF">2026-01-29T16:29:35Z</dcterms:created>
  <dcterms:modified xsi:type="dcterms:W3CDTF">2026-03-06T06:56:27Z</dcterms:modified>
</cp:coreProperties>
</file>